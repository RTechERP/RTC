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8940" yWindow="1005" windowWidth="19365" windowHeight="11760"/>
  </bookViews>
  <sheets>
    <sheet name="QUO" sheetId="1" r:id="rId1"/>
    <sheet name="Sheet1" sheetId="5" r:id="rId2"/>
    <sheet name="Sale" sheetId="4" r:id="rId3"/>
    <sheet name="ĐKHOẢN CHUNG" sheetId="2" r:id="rId4"/>
    <sheet name="Custom" sheetId="3" r:id="rId5"/>
    <sheet name="Sheet2" sheetId="6" r:id="rId6"/>
  </sheets>
  <definedNames>
    <definedName name="_xlnm.Print_Area" localSheetId="0">QUO!$A$1:$H$54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9" i="1" l="1"/>
  <c r="C9" i="1" l="1"/>
  <c r="G40" i="1" l="1"/>
  <c r="G41" i="1" l="1"/>
  <c r="G42" i="1" s="1"/>
  <c r="C8" i="1"/>
  <c r="H9" i="5" l="1"/>
  <c r="H11" i="5"/>
  <c r="H13" i="5"/>
  <c r="H15" i="5"/>
  <c r="H24" i="5"/>
  <c r="H25" i="5"/>
  <c r="H26" i="5"/>
  <c r="E17" i="5"/>
  <c r="E18" i="5"/>
  <c r="E19" i="5"/>
  <c r="E20" i="5"/>
  <c r="E21" i="5"/>
  <c r="E16" i="5"/>
  <c r="F23" i="5"/>
  <c r="H23" i="5" s="1"/>
  <c r="F24" i="5"/>
  <c r="F25" i="5"/>
  <c r="F26" i="5"/>
  <c r="F27" i="5"/>
  <c r="H27" i="5" s="1"/>
  <c r="F10" i="5" l="1"/>
  <c r="H10" i="5" s="1"/>
  <c r="F12" i="5"/>
  <c r="H12" i="5" s="1"/>
  <c r="F14" i="5"/>
  <c r="H14" i="5" s="1"/>
  <c r="F16" i="5"/>
  <c r="H16" i="5" s="1"/>
  <c r="F17" i="5"/>
  <c r="H17" i="5" s="1"/>
  <c r="F18" i="5"/>
  <c r="H18" i="5" s="1"/>
  <c r="F19" i="5"/>
  <c r="H19" i="5" s="1"/>
  <c r="F20" i="5"/>
  <c r="H20" i="5" s="1"/>
  <c r="F21" i="5"/>
  <c r="H21" i="5" s="1"/>
  <c r="F22" i="5"/>
  <c r="H22" i="5" s="1"/>
  <c r="F8" i="5"/>
  <c r="H8" i="5" s="1"/>
  <c r="H28" i="5" l="1"/>
  <c r="H30" i="5" s="1"/>
  <c r="J40" i="1"/>
  <c r="I19" i="1" l="1"/>
  <c r="XFD40" i="1" l="1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" i="3"/>
  <c r="J12" i="1"/>
  <c r="F2" i="1" s="1"/>
  <c r="F3" i="1" l="1"/>
  <c r="G13" i="1"/>
  <c r="G12" i="1"/>
  <c r="C7" i="1" l="1"/>
  <c r="C6" i="1"/>
  <c r="C5" i="1"/>
</calcChain>
</file>

<file path=xl/sharedStrings.xml><?xml version="1.0" encoding="utf-8"?>
<sst xmlns="http://schemas.openxmlformats.org/spreadsheetml/2006/main" count="1008" uniqueCount="866">
  <si>
    <t>No.</t>
  </si>
  <si>
    <t>Company:</t>
  </si>
  <si>
    <t>Phone number:</t>
  </si>
  <si>
    <t>Description/ Model</t>
  </si>
  <si>
    <t>Quantity</t>
  </si>
  <si>
    <t>Unit Price
(VND)</t>
  </si>
  <si>
    <t>Sales member:</t>
  </si>
  <si>
    <t>Email:</t>
  </si>
  <si>
    <t>Quotation include:</t>
  </si>
  <si>
    <t>Prepair by:</t>
  </si>
  <si>
    <t>Approved by:</t>
  </si>
  <si>
    <t>Điều kiện thương mại.</t>
  </si>
  <si>
    <r>
      <t xml:space="preserve">* </t>
    </r>
    <r>
      <rPr>
        <b/>
        <sz val="12"/>
        <rFont val="Times New Roman"/>
        <family val="1"/>
        <charset val="163"/>
      </rPr>
      <t xml:space="preserve"> Delivery and fees</t>
    </r>
    <r>
      <rPr>
        <sz val="12"/>
        <rFont val="Times New Roman"/>
        <family val="1"/>
        <charset val="163"/>
      </rPr>
      <t>: The Price includes delivery fee and one-way customs procedures fee</t>
    </r>
  </si>
  <si>
    <r>
      <rPr>
        <b/>
        <sz val="12"/>
        <rFont val="Times New Roman"/>
        <family val="1"/>
      </rPr>
      <t xml:space="preserve"> * Delivery and fees:</t>
    </r>
    <r>
      <rPr>
        <sz val="12"/>
        <rFont val="Times New Roman"/>
        <family val="1"/>
      </rPr>
      <t xml:space="preserve"> The Price includes  one-way customs procedures fee</t>
    </r>
  </si>
  <si>
    <r>
      <rPr>
        <b/>
        <sz val="12"/>
        <rFont val="Times New Roman"/>
        <family val="1"/>
      </rPr>
      <t>* Delivery and fees</t>
    </r>
    <r>
      <rPr>
        <sz val="12"/>
        <rFont val="Times New Roman"/>
        <family val="1"/>
      </rPr>
      <t>: The Price includes delivery fee.if you buy spare parts, the value is less than 15 million, please pay delivery fee</t>
    </r>
  </si>
  <si>
    <t>ĐỊA ĐIỂM GIAO HÀNG</t>
  </si>
  <si>
    <r>
      <rPr>
        <b/>
        <sz val="12"/>
        <rFont val="Times New Roman"/>
        <family val="1"/>
      </rPr>
      <t>* Place of delivery:</t>
    </r>
    <r>
      <rPr>
        <sz val="12"/>
        <rFont val="Times New Roman"/>
        <family val="1"/>
      </rPr>
      <t xml:space="preserve"> Door to door of customer</t>
    </r>
  </si>
  <si>
    <r>
      <rPr>
        <b/>
        <sz val="12"/>
        <rFont val="Times New Roman"/>
        <family val="1"/>
      </rPr>
      <t>* Place of delivery</t>
    </r>
    <r>
      <rPr>
        <sz val="12"/>
        <rFont val="Times New Roman"/>
        <family val="1"/>
      </rPr>
      <t>: At the company warehouse RTC Technology</t>
    </r>
  </si>
  <si>
    <t>Điều khoản thanh toán</t>
  </si>
  <si>
    <t>* Term of Payment : Pay 100% when order</t>
  </si>
  <si>
    <t>*  Payment : Pay 100% when order</t>
  </si>
  <si>
    <t xml:space="preserve"> * Payment :Deposit 50% of the orders immediately after signing the contract and Payment of 50% of contract value before delivery</t>
  </si>
  <si>
    <t xml:space="preserve"> * Payment : 50% will be paid in advance, the remain will be paid after 1 weeks of receiving the goods</t>
  </si>
  <si>
    <t>Unit</t>
  </si>
  <si>
    <t>Delivery</t>
  </si>
  <si>
    <t>Total Price
(VND)</t>
  </si>
  <si>
    <t>TT</t>
  </si>
  <si>
    <t>Mã khách hàng</t>
  </si>
  <si>
    <t>Tên khách hàng</t>
  </si>
  <si>
    <t>Công ty</t>
  </si>
  <si>
    <t>Địa chỉ</t>
  </si>
  <si>
    <t>Số ĐT</t>
  </si>
  <si>
    <t>Email</t>
  </si>
  <si>
    <t>SÔ BÁO GIÁ</t>
  </si>
  <si>
    <t>Mr.Hãnh</t>
  </si>
  <si>
    <t>0998 980 738</t>
  </si>
  <si>
    <t>Mr.Trường</t>
  </si>
  <si>
    <t>Ms.Hương</t>
  </si>
  <si>
    <t>Mr.Phúc</t>
  </si>
  <si>
    <t>ADI</t>
  </si>
  <si>
    <t>Trần Khát Chân-Hai Bà Trừng</t>
  </si>
  <si>
    <t xml:space="preserve">0973 581 631 </t>
  </si>
  <si>
    <t>sale02@fintv.com.vn</t>
  </si>
  <si>
    <t>Hải Phòng</t>
  </si>
  <si>
    <t>Mr.Hòa</t>
  </si>
  <si>
    <t>Ms. Thùy</t>
  </si>
  <si>
    <t>Công ty TNHH Thương Mại và Dịch Vụ Tâm Chí</t>
  </si>
  <si>
    <t>Thôn Hội Phụ, xã Đông Hội, huyện Đông Anh, TP.Hà Nội</t>
  </si>
  <si>
    <t>0166.593.0441</t>
  </si>
  <si>
    <t>thanh9612691@vnn.vn</t>
  </si>
  <si>
    <t>Lô B-6, Khu Công nghiệp Thăng Long, xã Võng La,
 Huyện Đông Anh, thành phố Hà Nội</t>
  </si>
  <si>
    <t>Mr.Quỳnh</t>
  </si>
  <si>
    <t>Mr.Chung</t>
  </si>
  <si>
    <t>Công ty Cổ phần Thương mại thế giới công nghiệp</t>
  </si>
  <si>
    <t>Số 51, đường số 2, phường Hiệp Bình Phước, Quận Thủ Đức, TP. Hồ Chí Minh, Việt Nam.</t>
  </si>
  <si>
    <t>0902.300.456</t>
  </si>
  <si>
    <t>Ms.Lê</t>
  </si>
  <si>
    <t>CÔNG TY TNHH KOREA NANO SYSTEM VINA</t>
  </si>
  <si>
    <t>Lô 15,17 cụm CN Nội Hoàng, Xã Nội Hoàng, Huyện Yên Dũng, Tỉnh Bắc Giang</t>
  </si>
  <si>
    <t>0943 330 289</t>
  </si>
  <si>
    <t>Mr. Chung</t>
  </si>
  <si>
    <t>Công ty TNHH JATT Việt Nam</t>
  </si>
  <si>
    <t>P304, Lô D14D6 KDTM Cầu Giấy, P.Dịch Vọng, 
Q. Cầu Giấy, TP.Hà Nội, Việt Nam</t>
  </si>
  <si>
    <t xml:space="preserve"> 0934.501.091</t>
  </si>
  <si>
    <t>Mr. Khánh</t>
  </si>
  <si>
    <t>Công ty cổ phần Thương Mại và Giải Pháp Kỹ thuật Trường Phát</t>
  </si>
  <si>
    <t>Số nhà 5 , Ngách 61/124 , Đ. Nguyễn Hoàng Tôn ,P.Phú Thượng , Q.Tây Hồ , TP. Hà Nội</t>
  </si>
  <si>
    <t>0987 695 091</t>
  </si>
  <si>
    <t>Ms. Trà My</t>
  </si>
  <si>
    <t xml:space="preserve">Công ty CP tự động hóa Tân Phát </t>
  </si>
  <si>
    <t>Số 168, đường Phan Trọng Tuệ, xã Thanh Liệt, H.Thanh Trì, TP.Hà Nội</t>
  </si>
  <si>
    <t>Mr.Trung</t>
  </si>
  <si>
    <t>Công ty Esquel Việt Nam</t>
  </si>
  <si>
    <t>KCN Lương Sơn - Hòa Bình</t>
  </si>
  <si>
    <t>0984.588.465</t>
  </si>
  <si>
    <t>Ms.Vân</t>
  </si>
  <si>
    <t>Công ty TNHH Kỹ thuật Thương mại Thái Khương</t>
  </si>
  <si>
    <t>38A Phan Văn Sửu,P.13, Q. Tân Bình, TP.HCM</t>
  </si>
  <si>
    <t>0938.034.768</t>
  </si>
  <si>
    <t>Công ty TNHH HNT Vina</t>
  </si>
  <si>
    <t>Khu công nghiệp Lương  Sơn, Km36, Quốc lộ 6, xã Hòa Sơn, huyện Lương
 Sơn, tỉnh Hòa Bình.</t>
  </si>
  <si>
    <t>Ms.Nhung</t>
  </si>
  <si>
    <t xml:space="preserve"> Công ty TNHH Quốc tế Minh Khang</t>
  </si>
  <si>
    <t xml:space="preserve"> Tầng 4, số 76 Hoàng Văn Thái, P. Khương Thượng,Q. Thanh Xuân, HN</t>
  </si>
  <si>
    <t>0963830094</t>
  </si>
  <si>
    <t>CÔNG TY TNHH SD GLOBAL VIỆT NAM</t>
  </si>
  <si>
    <t>Lô đất  XN3, khu công nghiệp Đại An mở rộng, thị
 trấn Lai Cách, huyện Cẩm Giàng, tỉnh Hải Dương.</t>
  </si>
  <si>
    <t>nguyenhoi@61cns.co.kr</t>
  </si>
  <si>
    <t>Mr. Sơn</t>
  </si>
  <si>
    <t>Công ty Maruka -MARUKA VIETNAM CO.,LTD.</t>
  </si>
  <si>
    <t>R.202 , 02nd Floor,Techno Center Building,
Thang Long Industrial Park, Dong Anh District, Ha Noi City</t>
  </si>
  <si>
    <t>0916 991 685</t>
  </si>
  <si>
    <t>service1@maruka.vn</t>
  </si>
  <si>
    <t>Ms. Hương</t>
  </si>
  <si>
    <t>pur_1@pitc.com.vn</t>
  </si>
  <si>
    <t>Yen Phong IZ, Bac Ninh, Viet Nam</t>
  </si>
  <si>
    <t>Mr.Tấn Anh</t>
  </si>
  <si>
    <t>0979 357 896/0943 319 288</t>
  </si>
  <si>
    <t>Mr.Nhu</t>
  </si>
  <si>
    <t>097 473 3073</t>
  </si>
  <si>
    <t>dinhnhu.vu@samsung.com</t>
  </si>
  <si>
    <t>Mr.Vinh</t>
  </si>
  <si>
    <t>ng.vinh@samsung.com</t>
  </si>
  <si>
    <t>iMARKET VIETNAM CO., LTD</t>
  </si>
  <si>
    <t>Room 11, 12th Fl, Charmvit Tower, 117 Tran Duy Hung Str, Cau Giay Dist, Ha Noi.</t>
  </si>
  <si>
    <t>Ms.Tuyết</t>
  </si>
  <si>
    <t>tuyetpt@imarketkorea.com</t>
  </si>
  <si>
    <t>No 10 Alley 180 Hoang Quoc Viet Str., Cau giay Dist., Ha Noi., VN</t>
  </si>
  <si>
    <t>truong.nguyenduc@vn.panasonic.com</t>
  </si>
  <si>
    <t>Ms.Hiền Hòa</t>
  </si>
  <si>
    <t>NITTAN VIETNAM CO., LTD.</t>
  </si>
  <si>
    <t>No.6, Street 15, VSIP Bac Ninh, Tu Son Town, Bac Ninh Province, Viet Nam</t>
  </si>
  <si>
    <t>Ms.Ngọc</t>
  </si>
  <si>
    <t>pur03@nittan-vn.com</t>
  </si>
  <si>
    <t>nguyen.minh.phong.hs@kvc.kyocera.com.vn</t>
  </si>
  <si>
    <t>Mr.Việt</t>
  </si>
  <si>
    <t>No 4, lot 5 Lai Xa IZ, Hoai Duc, Ha Noi</t>
  </si>
  <si>
    <t>Ms.Chuyên</t>
  </si>
  <si>
    <t>S-pur@sora.vn</t>
  </si>
  <si>
    <t>Mr.Thắng</t>
  </si>
  <si>
    <t>Công ty TNHH Spindex Việt Nam</t>
  </si>
  <si>
    <t>KCN Nội Bài, Hà Nội</t>
  </si>
  <si>
    <t>0977 501 286</t>
  </si>
  <si>
    <t>vanthang_khong@spindex.com.vn</t>
  </si>
  <si>
    <t>Ms.Vân Anh</t>
  </si>
  <si>
    <t>vananh_nguyen@spindex.com.vn</t>
  </si>
  <si>
    <t>Kim Long Production and Trading Service Co,. LTD</t>
  </si>
  <si>
    <t>Lô A2CN5, Đường CN1, Cụm CN Từ Liêm.</t>
  </si>
  <si>
    <t>thangtuliem@gmail.com</t>
  </si>
  <si>
    <t>Mr.Đức</t>
  </si>
  <si>
    <t>Rthym Precision</t>
  </si>
  <si>
    <t>0949 914 008</t>
  </si>
  <si>
    <t>nguyen.ducrpv@gmail.com</t>
  </si>
  <si>
    <t>Mr.Dũng</t>
  </si>
  <si>
    <t>CÔNG TY CỔ PHẦN TỰ ĐỘNG HÓA PMTT</t>
  </si>
  <si>
    <t>226 - Đường Phúc Diễn - Xuân Phương - Nam Từ Liêm - Hà Nội</t>
  </si>
  <si>
    <t>dungnv@pmttau.com.vn</t>
  </si>
  <si>
    <t>Mr.Sơn</t>
  </si>
  <si>
    <t>Mr.Tùng</t>
  </si>
  <si>
    <t>Công ty TNHH Goshu Kohsan (Việt Nam)</t>
  </si>
  <si>
    <t>Lô P1, khu công nghiệp Thăng Long, huyện Đông Anh, thành phố Hà Nội, Việt Nam</t>
  </si>
  <si>
    <t>tung.nh.vn@goshukohsan.com</t>
  </si>
  <si>
    <t>Mr.Tuấn</t>
  </si>
  <si>
    <t>Công ty TNHH vật liệu mới DENKA Việt Nam</t>
  </si>
  <si>
    <t>Lô đất số D-5, KCN Thăng Long II, Xã Liêu Xá, Huyện Yên Mỹ, Tỉnh Hưng Yên, Việt Nam</t>
  </si>
  <si>
    <t>Ms.Chinh</t>
  </si>
  <si>
    <t>Mr.Tâm</t>
  </si>
  <si>
    <t>CÔNG TY TNHH MYUNG TECH VINA</t>
  </si>
  <si>
    <t>Lô A1 KCN Đại Đồng Hoàn Sơn - Hoàn Sơn - Tiên Du - Bắc Ninh.</t>
  </si>
  <si>
    <t>Tung Lam Technology Investment Development Joint Stock Company</t>
  </si>
  <si>
    <t>No.1, Alley 180/18, Dinh Thon Street, My Dinh I Ward,Nam Tu Liem District, Ha Noi, Vietnam</t>
  </si>
  <si>
    <t>tunglamtek@gmail.com</t>
  </si>
  <si>
    <t>Ms.Thơm</t>
  </si>
  <si>
    <t>Sunrise Viet Nam Trading Co.,LTD</t>
  </si>
  <si>
    <t>Ai Mo, Yen Vien, Gia Lam, Ha Noi</t>
  </si>
  <si>
    <t>Mr.Minh</t>
  </si>
  <si>
    <t>TOAN THINH PHAT Corporation</t>
  </si>
  <si>
    <t xml:space="preserve">building licogi 13, Khuat duy Tien Str, Nhan chinh Ward,Thanh xuan District,HN </t>
  </si>
  <si>
    <t>sales68@toanthinhphatco.com.vn</t>
  </si>
  <si>
    <t>Mr.Quyết</t>
  </si>
  <si>
    <t>Mr.Tám</t>
  </si>
  <si>
    <t>YUASA TRADING VIET NAM CO., LTD</t>
  </si>
  <si>
    <t>Floor 15, Hoa Binh International Tower, 106 Hoang Quoc Viet Road, Nghia Do Ward Cau Giay Dist. Hanoi, Vietnam</t>
  </si>
  <si>
    <t>tam.luu@yuasa.com.vn</t>
  </si>
  <si>
    <t>Mr.Kiểm</t>
  </si>
  <si>
    <t>CÔNG TY CỔ PHẦN  TỰ ĐỘNG HÓA  ASECO</t>
  </si>
  <si>
    <t>Số 6A/109 Đường Quan Nhân, Phường Nhân Chính , Quận Thanh Xuân, HN</t>
  </si>
  <si>
    <t>kiempv.aseco@gmail.com</t>
  </si>
  <si>
    <t xml:space="preserve">EST Industrial Electrical Service and Trading Co., ltd </t>
  </si>
  <si>
    <t>9B, Alley 224, Hoang Mai Str., Hoang Mai Dist., Hanoi.</t>
  </si>
  <si>
    <t>purchase-3@est.com.vn</t>
  </si>
  <si>
    <t>Mr.Tập</t>
  </si>
  <si>
    <t>Công Ty TNHH Enkei Việt Nam</t>
  </si>
  <si>
    <t>khu công nghiệp Thăng Long Hà Nội</t>
  </si>
  <si>
    <t>tap-nd@enkeivn.com.vn</t>
  </si>
  <si>
    <t>Ms.Lan</t>
  </si>
  <si>
    <t>Công ty Emtek</t>
  </si>
  <si>
    <t>Khu Vân Trại , Phường Vân Dương, Tp Bắc Ninh</t>
  </si>
  <si>
    <t>nlan8202@gmail.com</t>
  </si>
  <si>
    <t>Ms.Son</t>
  </si>
  <si>
    <t>maithison91@gmail.com</t>
  </si>
  <si>
    <t>Mr.Chương</t>
  </si>
  <si>
    <t>096 834 7942</t>
  </si>
  <si>
    <t>Mr.Luyện</t>
  </si>
  <si>
    <t>Ms.Giang</t>
  </si>
  <si>
    <t>TEMAS</t>
  </si>
  <si>
    <t>Mr.Nam</t>
  </si>
  <si>
    <t>Mr.Cần</t>
  </si>
  <si>
    <t>Chiyoda integre Viet Nam co..Ltd</t>
  </si>
  <si>
    <t>Lô C4- KCN thăng long- Xã kim chung- Huyện đông anh- TP hà nội- Việt Vam</t>
  </si>
  <si>
    <t>hoangcancivn@gmail.com</t>
  </si>
  <si>
    <t>Khu công nghiệp Yên Phong, Bắc Ninh</t>
  </si>
  <si>
    <t>congnamdt1k1@gmail.com</t>
  </si>
  <si>
    <t>Mr.Thưởng</t>
  </si>
  <si>
    <t>RETECH VIET NAM INDUSTRIAL CO.,LTD</t>
  </si>
  <si>
    <t>Số 5 - Ngõ 91- Đường Cầu Diễn- Phường Phúc Diễn, Quận Bắc Từ Liêm- Hà Nội</t>
  </si>
  <si>
    <t>retechvietnam@gmail.com</t>
  </si>
  <si>
    <t>Ms.Hằng</t>
  </si>
  <si>
    <t>Công ty TNHH Phát triển Hạ tầng Công nghệ BSI</t>
  </si>
  <si>
    <t>2/1 C Cao Thắng, Phường 5, Quận 3, Thành phố Hồ Chí Minh</t>
  </si>
  <si>
    <t>hanglt1@bsi.vn</t>
  </si>
  <si>
    <t>Mr.Tiến</t>
  </si>
  <si>
    <t>FOXCON BẮC GIANG</t>
  </si>
  <si>
    <t>Mr.Sỹ</t>
  </si>
  <si>
    <t>'0166 834 6141</t>
  </si>
  <si>
    <t>Ms.Mai</t>
  </si>
  <si>
    <t>Công ty TNHH ứng dụng và phát triển công nghệ tự động  T.T.H</t>
  </si>
  <si>
    <t>Chân Cầu Bính, Tân Dương,Thủy Nguyên, Hải Phòng</t>
  </si>
  <si>
    <t xml:space="preserve"> 0973 663 897/0975 342 403</t>
  </si>
  <si>
    <t>thamxuka.tth@gmail.com</t>
  </si>
  <si>
    <t>CÔNG TY TNHH HÀ THU</t>
  </si>
  <si>
    <t>Số nhà 253, đường Phan Chu Trinh,phường Khai Quang, Tp. Vĩnh Yên, Vĩnh Phúc</t>
  </si>
  <si>
    <t>0983 871 646</t>
  </si>
  <si>
    <t>Meiko Trading &amp; Engineering Co., Ltd</t>
  </si>
  <si>
    <t>91 Linh Lang, Cong Vi, Ba Dinh, Hanoi</t>
  </si>
  <si>
    <t>0168 442 4369</t>
  </si>
  <si>
    <t>Mr.Hưng</t>
  </si>
  <si>
    <t>KAKUME VN</t>
  </si>
  <si>
    <t>8 Tăng Bặt Hổ, Phạm Đình Hồ, Hai Bà Trưng, Hà Nội</t>
  </si>
  <si>
    <t>08 8810 8883</t>
  </si>
  <si>
    <t>quanghung@kakume.vn</t>
  </si>
  <si>
    <t>Mr.Tuấn Anh</t>
  </si>
  <si>
    <t>0983 742 083</t>
  </si>
  <si>
    <t>RTC/MEIKO-03</t>
  </si>
  <si>
    <t>Ms.Hà</t>
  </si>
  <si>
    <t>dt_ha@pitc.com.vn</t>
  </si>
  <si>
    <t>CÔNG TY TOÀN THỊNH</t>
  </si>
  <si>
    <t xml:space="preserve"> 097 719 3007</t>
  </si>
  <si>
    <t>Công ty CP Bia Thanh Hóa</t>
  </si>
  <si>
    <t>152 Quang Trung, Ngọc Trạo, Tp.Thanh Hóa, Thanh Hóa</t>
  </si>
  <si>
    <t>0903 291 077</t>
  </si>
  <si>
    <t>NITTO VIET NAM CO., LTD</t>
  </si>
  <si>
    <t>Khu công nghiệp VSIP Bắc Ninh</t>
  </si>
  <si>
    <t>0913 256 189</t>
  </si>
  <si>
    <t>SMT VIỆT NAM</t>
  </si>
  <si>
    <t>P6C1- CT4- KĐT Văn Khê- Hà Đông- Hà Nội.</t>
  </si>
  <si>
    <t>0986 032 358</t>
  </si>
  <si>
    <t>nhungoc0492@gmail.com</t>
  </si>
  <si>
    <t>Ms.Thanh</t>
  </si>
  <si>
    <t xml:space="preserve">BAC GIANG MATSUOKA-Vina Birz Co.,Ltd    </t>
  </si>
  <si>
    <t xml:space="preserve"> Lot C6,C7 Dinh Tram Industrial Zone Bac Giang Vietnam</t>
  </si>
  <si>
    <t>0904 316 959</t>
  </si>
  <si>
    <t>RTC/MATSUOKA-01</t>
  </si>
  <si>
    <t>Mr.Hiệp</t>
  </si>
  <si>
    <t>VIET NHAT AUTOMATION Limmited Company.</t>
  </si>
  <si>
    <t>0966.518.599</t>
  </si>
  <si>
    <t>hiep.nhatviet@gmail.com</t>
  </si>
  <si>
    <t>Terms and Conditions</t>
  </si>
  <si>
    <t>sales@rtc.edu.vn</t>
  </si>
  <si>
    <t>By words:</t>
  </si>
  <si>
    <t xml:space="preserve">No.   </t>
  </si>
  <si>
    <t>Sales name</t>
  </si>
  <si>
    <t>Phone</t>
  </si>
  <si>
    <t>Huyền Trang</t>
  </si>
  <si>
    <t>0976 370 489</t>
  </si>
  <si>
    <t>Mã sales</t>
  </si>
  <si>
    <t>RTC01</t>
  </si>
  <si>
    <t>RTC02</t>
  </si>
  <si>
    <t>RTC04</t>
  </si>
  <si>
    <t>RTC05</t>
  </si>
  <si>
    <t>RTC06</t>
  </si>
  <si>
    <t>RTC07</t>
  </si>
  <si>
    <t>RTC08</t>
  </si>
  <si>
    <t>RTC09</t>
  </si>
  <si>
    <t>RTC10</t>
  </si>
  <si>
    <t>RTC11</t>
  </si>
  <si>
    <t>RTC12</t>
  </si>
  <si>
    <t>RTC13</t>
  </si>
  <si>
    <t>RTC14</t>
  </si>
  <si>
    <t>Nguyễn Thơm</t>
  </si>
  <si>
    <t>0969.394.556</t>
  </si>
  <si>
    <t>nguyen.thom@rtc.edu.vn</t>
  </si>
  <si>
    <t>Date</t>
  </si>
  <si>
    <r>
      <t xml:space="preserve">* </t>
    </r>
    <r>
      <rPr>
        <b/>
        <sz val="9"/>
        <color theme="1"/>
        <rFont val="Arial"/>
        <family val="2"/>
      </rPr>
      <t>Custom Clearance</t>
    </r>
    <r>
      <rPr>
        <sz val="9"/>
        <color theme="1"/>
        <rFont val="Arial"/>
        <family val="2"/>
      </rPr>
      <t>: Cleared by vendor</t>
    </r>
  </si>
  <si>
    <r>
      <t xml:space="preserve">*  </t>
    </r>
    <r>
      <rPr>
        <b/>
        <sz val="9"/>
        <color theme="1"/>
        <rFont val="Arial"/>
        <family val="2"/>
      </rPr>
      <t>Warranty</t>
    </r>
    <r>
      <rPr>
        <sz val="9"/>
        <color theme="1"/>
        <rFont val="Arial"/>
        <family val="2"/>
      </rPr>
      <t xml:space="preserve">: Within 12 month after delivery </t>
    </r>
  </si>
  <si>
    <r>
      <t xml:space="preserve">* </t>
    </r>
    <r>
      <rPr>
        <b/>
        <sz val="9"/>
        <color theme="1"/>
        <rFont val="Arial"/>
        <family val="2"/>
      </rPr>
      <t>Place of deliver</t>
    </r>
    <r>
      <rPr>
        <sz val="9"/>
        <color theme="1"/>
        <rFont val="Arial"/>
        <family val="2"/>
      </rPr>
      <t>y: Door to door of customer</t>
    </r>
  </si>
  <si>
    <t>STT</t>
  </si>
  <si>
    <t>3Q-Ly</t>
  </si>
  <si>
    <t>MS. Ly</t>
  </si>
  <si>
    <t>3Q</t>
  </si>
  <si>
    <t>Số 5-A1, tổ 23, Xuân Thủy, Cầu Giấy, HN</t>
  </si>
  <si>
    <t>pur.3qvietnam@gmail.com</t>
  </si>
  <si>
    <t>ADI-Phúc</t>
  </si>
  <si>
    <t>phucnh@adi-jsc.com</t>
  </si>
  <si>
    <t>AJNOMOTO-Việt</t>
  </si>
  <si>
    <t>Mr Việt</t>
  </si>
  <si>
    <t>Ajnomoto</t>
  </si>
  <si>
    <t>0251 3831 289 (Ext: 564)</t>
  </si>
  <si>
    <t>viet_nnq@Ajinomoto.com.vn</t>
  </si>
  <si>
    <t>ANAM-Hà</t>
  </si>
  <si>
    <t>Ms.Hà (pur)</t>
  </si>
  <si>
    <t>Anam</t>
  </si>
  <si>
    <t xml:space="preserve"> KCN Đồng Văn II - Duy Tiên - Hà Nam</t>
  </si>
  <si>
    <t>thiha.nguyen@aname.co.kr</t>
  </si>
  <si>
    <t xml:space="preserve">ANS-Nguyên </t>
  </si>
  <si>
    <t>Ms. Nguyên</t>
  </si>
  <si>
    <t>Anh Nghi Sơn (ANS)</t>
  </si>
  <si>
    <t>D3,Dinh Tien Hoang Street, Ward 3, Mieu Noi Resident Area , Binh Thanh Dist , Ho Chi Minh City, Viet Nam</t>
  </si>
  <si>
    <t>902 592 090</t>
  </si>
  <si>
    <t>nguyen.ans@ansvietnam.com</t>
  </si>
  <si>
    <t xml:space="preserve">APN-Hương </t>
  </si>
  <si>
    <t>Anphanam</t>
  </si>
  <si>
    <t>Số 95, tổ 5, Kim Quan, P. Việt Hưn, Q. Long Biên, TP Hà Nội.</t>
  </si>
  <si>
    <t>pur.apn@gmail.com</t>
  </si>
  <si>
    <t xml:space="preserve">ASECO-Kiểm </t>
  </si>
  <si>
    <t>0976777214</t>
  </si>
  <si>
    <t xml:space="preserve">BAOAN-Lan </t>
  </si>
  <si>
    <t>BẢO AN</t>
  </si>
  <si>
    <t>lanvu.baoan@gmail.com</t>
  </si>
  <si>
    <t xml:space="preserve">BAOAN-Thắng </t>
  </si>
  <si>
    <t>0904 446 458</t>
  </si>
  <si>
    <t>lethang.baoan@gmail.com</t>
  </si>
  <si>
    <t xml:space="preserve">BIATHANHHOA-Tuấn </t>
  </si>
  <si>
    <t xml:space="preserve">BSI-Hằng </t>
  </si>
  <si>
    <t xml:space="preserve">CHYODA-Cần </t>
  </si>
  <si>
    <t>"0976034784</t>
  </si>
  <si>
    <t xml:space="preserve">COMBAT-Chong </t>
  </si>
  <si>
    <t>Mr.Chong</t>
  </si>
  <si>
    <t>COMBAT</t>
  </si>
  <si>
    <t>ckyaw@combat.com.my</t>
  </si>
  <si>
    <t xml:space="preserve">DAEKHON-Kiên </t>
  </si>
  <si>
    <t>Mr.Kiên</t>
  </si>
  <si>
    <t>Công ty Daekhon Vina</t>
  </si>
  <si>
    <t>Tầng 8 -tòa nhà HH3 SUDICO -khu đô thị Mỹ Đình Sông Đà -Phường Mễ Trì -Quận Nam Từ Liêm -Thành Phố Hà Nội -Việt nam</t>
  </si>
  <si>
    <t>0981 312 612</t>
  </si>
  <si>
    <t>kien@daekhon.co.kr</t>
  </si>
  <si>
    <t xml:space="preserve">DAIKIN-Quỳnh </t>
  </si>
  <si>
    <t>DAIKIN</t>
  </si>
  <si>
    <t>Hưng Yên</t>
  </si>
  <si>
    <t>(0) 976 569 846</t>
  </si>
  <si>
    <t>nhuquynh.nguyen@daikin.com.vn</t>
  </si>
  <si>
    <t>DARAM-Thảo</t>
  </si>
  <si>
    <t xml:space="preserve">Ms.Thảo </t>
  </si>
  <si>
    <t>Daram</t>
  </si>
  <si>
    <t>Số 99 Phố Thiên Hiền, Mỹ Đình 1, Từ Liêm, Hà Nội</t>
  </si>
  <si>
    <t>043 7878923</t>
  </si>
  <si>
    <t>thaothao2892@gmail.com</t>
  </si>
  <si>
    <t xml:space="preserve">DENKA-Chinh </t>
  </si>
  <si>
    <t>0915557815</t>
  </si>
  <si>
    <t xml:space="preserve">DENKA-Tuấn </t>
  </si>
  <si>
    <t>0936422158</t>
  </si>
  <si>
    <t>tuan-nguyenthien@denka.com.vn</t>
  </si>
  <si>
    <t>DONGYANG-Như</t>
  </si>
  <si>
    <t>Ms.Như</t>
  </si>
  <si>
    <t xml:space="preserve">DongYang </t>
  </si>
  <si>
    <t>Lô C5-3- KCN Tràng Duệ - Hải Phòng</t>
  </si>
  <si>
    <t>ELK-ThuAnh</t>
  </si>
  <si>
    <t>Ms Thu Anh</t>
  </si>
  <si>
    <t>ELK VINA</t>
  </si>
  <si>
    <t>CN2-1, THACH THAT - QUOC 
OAI INDUSTRIAL ZONE, THACH 
THAT DIST, HANOI, VIET NAM</t>
  </si>
  <si>
    <t xml:space="preserve"> +84 971974618</t>
  </si>
  <si>
    <t>thuanh.nt@elkvina.com</t>
  </si>
  <si>
    <t xml:space="preserve">EMTEK-Chương </t>
  </si>
  <si>
    <t>EMTEK-Lan</t>
  </si>
  <si>
    <t>01275281111</t>
  </si>
  <si>
    <t xml:space="preserve">EMTEK-Sơn </t>
  </si>
  <si>
    <t>01647497917</t>
  </si>
  <si>
    <t xml:space="preserve">ENKEI-Luyện </t>
  </si>
  <si>
    <t>"988683753</t>
  </si>
  <si>
    <t>luyen-nv@enkeivn.com.vn</t>
  </si>
  <si>
    <t xml:space="preserve">ENKEI-Tập </t>
  </si>
  <si>
    <t xml:space="preserve">ESQUEL-Trung </t>
  </si>
  <si>
    <t xml:space="preserve">EST-Nhung </t>
  </si>
  <si>
    <t>01676963037</t>
  </si>
  <si>
    <t>FCC-Hoài</t>
  </si>
  <si>
    <t>Mss.Hoài</t>
  </si>
  <si>
    <t>FCC (VIETNAM) CO.,LTD</t>
  </si>
  <si>
    <t xml:space="preserve"> A5 Plot, Thang Long Industrial Park, Dong Anh Dist, Ha noi.</t>
  </si>
  <si>
    <t>0984 983 870</t>
  </si>
  <si>
    <t>qchoaint@fcc-vn.com.vn</t>
  </si>
  <si>
    <t xml:space="preserve">FCC-Tân </t>
  </si>
  <si>
    <t>Mr.Tân</t>
  </si>
  <si>
    <t>097 618 4516.</t>
  </si>
  <si>
    <t>qctankm@fcc-vn.com.vn</t>
  </si>
  <si>
    <t>FINE-Mai</t>
  </si>
  <si>
    <t>Fine</t>
  </si>
  <si>
    <t>Số 47, TT9, Văn Phú, Hà Đông, HN</t>
  </si>
  <si>
    <t xml:space="preserve">FOXCON-Sỹ </t>
  </si>
  <si>
    <t xml:space="preserve">
Khu công nghiệp Vân Trung và Đình Trám.
Bắc Giang (thành phố)</t>
  </si>
  <si>
    <t xml:space="preserve">FOXCON-Trung </t>
  </si>
  <si>
    <t>0986231288</t>
  </si>
  <si>
    <t>cpe_vn_fixture@mail.foxconn.com</t>
  </si>
  <si>
    <t xml:space="preserve">GOSHU-Tùng </t>
  </si>
  <si>
    <t>0913326034</t>
  </si>
  <si>
    <t>HANEL-Tùng</t>
  </si>
  <si>
    <t>Mr.Tùng (PGD)</t>
  </si>
  <si>
    <t>Hanel PT</t>
  </si>
  <si>
    <t>Lot 3, TS8 Street, Tien Son Industrial Zone, Tien Du Dist, Bac Ninh Prov, Vietnam</t>
  </si>
  <si>
    <t>0985 739 333</t>
  </si>
  <si>
    <t>tranductung@hanelpt.com.vn</t>
  </si>
  <si>
    <t xml:space="preserve">HATHU-Dũng </t>
  </si>
  <si>
    <t xml:space="preserve">HEESUNG-Hào </t>
  </si>
  <si>
    <t>Mr Hào</t>
  </si>
  <si>
    <t>Heesung</t>
  </si>
  <si>
    <t xml:space="preserve"> Lô G1, KCN Tràng Duệ, thuộc khu kinh tế Đình Vũ - Cát Hải, huyện An Dương, Hải Phòng</t>
  </si>
  <si>
    <t>0938 884 625</t>
  </si>
  <si>
    <t>khanh.pham@hsnw.co.kr</t>
  </si>
  <si>
    <t xml:space="preserve">HNT-Hòa </t>
  </si>
  <si>
    <t>Ms Hòa</t>
  </si>
  <si>
    <t>0967 500 524</t>
  </si>
  <si>
    <t>nguyenthihoa93@coasia.com</t>
  </si>
  <si>
    <t>HNT-Yến</t>
  </si>
  <si>
    <t>Ms.Yến (pur)</t>
  </si>
  <si>
    <t>HNT</t>
  </si>
  <si>
    <t xml:space="preserve"> Luong Son Industrial Park, Hoa Binh, QL6, tt. Lương Sơn, Lương Sơn, Hòa Bình</t>
  </si>
  <si>
    <t>tranthihaiyen@coasia.com</t>
  </si>
  <si>
    <t xml:space="preserve">HST-Hòa </t>
  </si>
  <si>
    <t xml:space="preserve">Công nghệ giải pháp Hà Nội </t>
  </si>
  <si>
    <t>Phòng C6-05, toà nhà Golden West, Số 2 Lê Văn Thiêm, Q Thanh Xuân, Tp Hà Nội</t>
  </si>
  <si>
    <t>0902 384 268</t>
  </si>
  <si>
    <t>sale2@hstcorp.vn</t>
  </si>
  <si>
    <t>HUST-Thu</t>
  </si>
  <si>
    <t>Mr. Thu</t>
  </si>
  <si>
    <t>HUST</t>
  </si>
  <si>
    <t xml:space="preserve">302, Nơ 6B, Bán đảo Linh Đàm, Quận Hoàng Mai, Tp. Hà Nội </t>
  </si>
  <si>
    <t>thuvv@hust.com.vn</t>
  </si>
  <si>
    <t xml:space="preserve">IMV-Thục Nga </t>
  </si>
  <si>
    <t>Ms.Thục Nga</t>
  </si>
  <si>
    <t>"0975433994</t>
  </si>
  <si>
    <t>thucnga.nguyen@imarketkorea.com</t>
  </si>
  <si>
    <t xml:space="preserve">IMV-Tuyết </t>
  </si>
  <si>
    <t xml:space="preserve"> "0975 796 824</t>
  </si>
  <si>
    <t xml:space="preserve">JATT-Chung </t>
  </si>
  <si>
    <t>chungpham.htsvietnam@gmail.com</t>
  </si>
  <si>
    <t>KAKUME-Hưng</t>
  </si>
  <si>
    <t xml:space="preserve">KEFICO-Trà </t>
  </si>
  <si>
    <t>Ms.Trà</t>
  </si>
  <si>
    <t>Kefico Vietnam Co., Ltd</t>
  </si>
  <si>
    <t>Lot XN#01, Dai An Industrial Zone, Hai Duong Province, Viet Nam</t>
  </si>
  <si>
    <t>0987-011-562</t>
  </si>
  <si>
    <t>TraTran@kefico.vn</t>
  </si>
  <si>
    <t>KHANHAN-Khánh</t>
  </si>
  <si>
    <t>Mr.Khánh</t>
  </si>
  <si>
    <t>Khánh An</t>
  </si>
  <si>
    <t>Số 10 hẻm 604/33/2, Ngọc Thụy, Long Biên, HN</t>
  </si>
  <si>
    <t>khanhantech@vnn.vn</t>
  </si>
  <si>
    <t xml:space="preserve">KIMLONG-Thắng </t>
  </si>
  <si>
    <t>"0913531612</t>
  </si>
  <si>
    <t>KNS-Lê</t>
  </si>
  <si>
    <t>KSMC-Thảo</t>
  </si>
  <si>
    <t>Ms. Thảo</t>
  </si>
  <si>
    <t>KSMC</t>
  </si>
  <si>
    <t>1706, 17th floor, DMC Buiding, No.535 Kim Ma Street</t>
  </si>
  <si>
    <t>0966 813 192</t>
  </si>
  <si>
    <t>sales27@ksmc.com.vn</t>
  </si>
  <si>
    <t>KTECH-Hưng</t>
  </si>
  <si>
    <t>Mr. Hưng</t>
  </si>
  <si>
    <t>Ktech Vina</t>
  </si>
  <si>
    <t>Phòng 201 Nhà A -KĐT Mới Xuân Đỉnh-Phố Đỗ Nhuận-Q.Bắc Từ Liêm-T.P  Hà Nội</t>
  </si>
  <si>
    <t>purchase2@ktechvn.com.vn
ktechvina@gmail.com,</t>
  </si>
  <si>
    <t xml:space="preserve">KYOCERA--Giang </t>
  </si>
  <si>
    <t>MS.Giang (pur)</t>
  </si>
  <si>
    <t>KYOCERA</t>
  </si>
  <si>
    <t>Lô đất số B-1, Khu công nghiệp Thăng Long II, Xã Liêu Xá, huyện Yên Mỹ, tỉnh Hưng Yên, Việt Nam.</t>
  </si>
  <si>
    <t>03213589900-2041</t>
  </si>
  <si>
    <t>duong.van.an.ke@kvc.kyocera.com.vn</t>
  </si>
  <si>
    <t xml:space="preserve">KYOCERA-Phong </t>
  </si>
  <si>
    <t xml:space="preserve">Mr. Phong </t>
  </si>
  <si>
    <t>"0906 186 201</t>
  </si>
  <si>
    <t>MAIDEN-Thắm</t>
  </si>
  <si>
    <t>Ms.Thắm</t>
  </si>
  <si>
    <t>Mai Đến</t>
  </si>
  <si>
    <t>Số 6 đường Phạm Tuấn 
Tài - Phường Dịch Vọng
 - Quận Cầu Giấy
 - TP. Hà Nội</t>
  </si>
  <si>
    <t>0941.437.561</t>
  </si>
  <si>
    <t xml:space="preserve">MARUKA-Sơn </t>
  </si>
  <si>
    <t>MATSUOKA-Thanh</t>
  </si>
  <si>
    <t xml:space="preserve">MEIKOTL-Quân </t>
  </si>
  <si>
    <t>Mr. Quân</t>
  </si>
  <si>
    <t>Meiko Thăng Long</t>
  </si>
  <si>
    <t>Lô J1-J2, KCN Thăng Long, Đông Anh, Hà Nội</t>
  </si>
  <si>
    <t>0983 656 796</t>
  </si>
  <si>
    <t>quan.haminh@meiko-elec.com</t>
  </si>
  <si>
    <t xml:space="preserve">MEKTEC-Nhung </t>
  </si>
  <si>
    <t>MEKTEC</t>
  </si>
  <si>
    <t>Plot no K-3&amp; 4, Thang Long Industrial Park II
Di Su commune, My Hao district, Hung Yen Province, Vietnam.</t>
  </si>
  <si>
    <t xml:space="preserve">MINHCUONG-Cường </t>
  </si>
  <si>
    <t>Mr.Cường</t>
  </si>
  <si>
    <t>CÔNG TY CP CƠ KHÍ- XÂY LẮP-THƯƠNG MẠI MINH CƯỜNG</t>
  </si>
  <si>
    <t>Đông Anh,Hà Nội</t>
  </si>
  <si>
    <t>"0906242315</t>
  </si>
  <si>
    <t>cuongdm@minhcuongsteel.com</t>
  </si>
  <si>
    <t xml:space="preserve">MINHKHANG-Hà </t>
  </si>
  <si>
    <t>Tầng 4 số 76 Hoàng Văn Thái, Thanh Xuân, HN</t>
  </si>
  <si>
    <t>admin@mkint.com.vn</t>
  </si>
  <si>
    <t>MINHKHANG-Nhung</t>
  </si>
  <si>
    <t>MKS-Hiếu</t>
  </si>
  <si>
    <t>Mr Hiếu</t>
  </si>
  <si>
    <t>MK Smart</t>
  </si>
  <si>
    <t xml:space="preserve">Lot 40, Quang Minh IZ, Me Linh, Ha Noi </t>
  </si>
  <si>
    <t xml:space="preserve">0982 093 198 </t>
  </si>
  <si>
    <t>hieuha@mksmart.com.vn</t>
  </si>
  <si>
    <t>MTECH-Mạnh</t>
  </si>
  <si>
    <t>Mr.Mạnh</t>
  </si>
  <si>
    <t>M-Tech</t>
  </si>
  <si>
    <t>Đường Nguyễn Tất Thành - KCN Khai Quang -Vĩnh Phúc</t>
  </si>
  <si>
    <t>0972 798 445</t>
  </si>
  <si>
    <t>manhdx@m-tech.com.vn</t>
  </si>
  <si>
    <t xml:space="preserve">MTE-Huyền </t>
  </si>
  <si>
    <t xml:space="preserve">Ms.Huyền </t>
  </si>
  <si>
    <t>0975 678 558</t>
  </si>
  <si>
    <t>huyen.phanthithu@meiko.vn</t>
  </si>
  <si>
    <t xml:space="preserve">MTE-Phương </t>
  </si>
  <si>
    <t>Ms.Phương</t>
  </si>
  <si>
    <t>2F, EMS building- Lot CN9, Thach That- Quoc Oai IZ, Hanoi</t>
  </si>
  <si>
    <t>01637 265 994</t>
  </si>
  <si>
    <t>phuong.luuthi@meiko.vn</t>
  </si>
  <si>
    <t xml:space="preserve">MTE-Thuận </t>
  </si>
  <si>
    <t xml:space="preserve">Mr.Thuận </t>
  </si>
  <si>
    <t>thuannguyenvan@meiko-elec.com</t>
  </si>
  <si>
    <t>MTE-Tiến</t>
  </si>
  <si>
    <t>tien.nguyenminh@meiko-elec.com</t>
  </si>
  <si>
    <t xml:space="preserve">MTE-Tuấn Anh </t>
  </si>
  <si>
    <t>tuananh.tran@meiko.vn</t>
  </si>
  <si>
    <t>MYUNG-Dung</t>
  </si>
  <si>
    <t>Ms Dung</t>
  </si>
  <si>
    <t>Myung Technology</t>
  </si>
  <si>
    <t>Road 3, Giang Dien I.P, Trang Bom Dist.,Dong Nai, Viet Nam</t>
  </si>
  <si>
    <t xml:space="preserve">096 2233 036  </t>
  </si>
  <si>
    <t>thuydung@myung.co.kr</t>
  </si>
  <si>
    <t xml:space="preserve">MYUNG-Huyền </t>
  </si>
  <si>
    <t>Ms. Huyền</t>
  </si>
  <si>
    <t>Myung tech Vina</t>
  </si>
  <si>
    <t xml:space="preserve"> 0169 271 5326</t>
  </si>
  <si>
    <t>myungtech@myungtech.vn</t>
  </si>
  <si>
    <t xml:space="preserve">MYUNGTECH-Tâm </t>
  </si>
  <si>
    <t>0978946226</t>
  </si>
  <si>
    <t>NIKKISO-Diệp</t>
  </si>
  <si>
    <t xml:space="preserve">Mr. Diệp </t>
  </si>
  <si>
    <t>NIKKISO</t>
  </si>
  <si>
    <t>Đường 19, KCX Tân Thuận, 
p. Tân Thuận Đông, Q. 7,
 Tp. HCM, Việt nam</t>
  </si>
  <si>
    <t>(0978 167 347)</t>
  </si>
  <si>
    <t>nndiep@nikkiso.com.vn</t>
  </si>
  <si>
    <t xml:space="preserve">NITTAN-Hòa </t>
  </si>
  <si>
    <t>"0914292160</t>
  </si>
  <si>
    <t>pur02@nittan-vn.com</t>
  </si>
  <si>
    <t xml:space="preserve">NITTAN-Ngọc </t>
  </si>
  <si>
    <t>"0988 260 866</t>
  </si>
  <si>
    <t xml:space="preserve">NITTAN-Thơm </t>
  </si>
  <si>
    <t>"0 976201887</t>
  </si>
  <si>
    <t>pur01@nittan-vn.com</t>
  </si>
  <si>
    <t xml:space="preserve">NITTO-Đức </t>
  </si>
  <si>
    <t>ikdoek.kim@partner.samsung.com
turnover.lee@partner.samsung.com
mg1026.choi@partner.samsung.com</t>
  </si>
  <si>
    <t xml:space="preserve">NITTO-Mừng </t>
  </si>
  <si>
    <t>Ms.Mừng</t>
  </si>
  <si>
    <t>Nhà xưởng RBF-E/F, Khu RBF, Số 108 Đường Hữu  Nghị, KCN, Đô thị và Dịch vụ VSIP Bắc Ninh Xã Phù Chẩn, Thị xã Từ Sơn, Tỉnh Bắc Ninh</t>
  </si>
  <si>
    <t>"0918 781 056</t>
  </si>
  <si>
    <t>mung.lethi@nitto.com</t>
  </si>
  <si>
    <t xml:space="preserve">NITTO-Thảo </t>
  </si>
  <si>
    <t>Mr.Thảo</t>
  </si>
  <si>
    <t>0915 075 189</t>
  </si>
  <si>
    <t>thao.phamdinh@nitto.com</t>
  </si>
  <si>
    <t xml:space="preserve">NITTO-Tuấn Anh </t>
  </si>
  <si>
    <t>"0912250829</t>
  </si>
  <si>
    <t>anh.letuan@nitto.com</t>
  </si>
  <si>
    <t>NITTO-Yoshyuki</t>
  </si>
  <si>
    <t>YOSHIYUKI TAMURA(MR)</t>
  </si>
  <si>
    <t>916318019 (ex.8745052)</t>
  </si>
  <si>
    <t>ORION-Nam</t>
  </si>
  <si>
    <t>ORION VINA</t>
  </si>
  <si>
    <t>"0975 531 310</t>
  </si>
  <si>
    <t xml:space="preserve">ORION-Sơn </t>
  </si>
  <si>
    <t>"0978 537 727</t>
  </si>
  <si>
    <t>sonhborion@gmail.com</t>
  </si>
  <si>
    <t xml:space="preserve">Panasonic-Giang </t>
  </si>
  <si>
    <t>PANASONIC</t>
  </si>
  <si>
    <t>"0168 610 9514</t>
  </si>
  <si>
    <t>huongiang.nguyen@vn.panasonic.com</t>
  </si>
  <si>
    <t xml:space="preserve">Panasonic-Nam </t>
  </si>
  <si>
    <t>0986 516 358</t>
  </si>
  <si>
    <t>nam.dongoc@vn.panasonic.com</t>
  </si>
  <si>
    <t xml:space="preserve">Panasonic-Trường </t>
  </si>
  <si>
    <t>"0982 778 486</t>
  </si>
  <si>
    <t xml:space="preserve">PIVN-An </t>
  </si>
  <si>
    <t>Mr.An</t>
  </si>
  <si>
    <t>PIVN</t>
  </si>
  <si>
    <t>Khu Phố Nối, xã Nghĩa Hiệp, huyện Yên Mỹ, tỉnh Hưng Yên, Việt Nam.</t>
  </si>
  <si>
    <t>0902 029 890 hoặc 0946829777</t>
  </si>
  <si>
    <t>Sales01pivn@gmail.com</t>
  </si>
  <si>
    <t xml:space="preserve">PIVN-Hường </t>
  </si>
  <si>
    <t>Ms.Hường</t>
  </si>
  <si>
    <t>"0984296216</t>
  </si>
  <si>
    <t>info.pmi2010@gmail.com</t>
  </si>
  <si>
    <t xml:space="preserve">PMTT-Dũng </t>
  </si>
  <si>
    <t>0986028862</t>
  </si>
  <si>
    <t xml:space="preserve">RETECH-Thưởng </t>
  </si>
  <si>
    <t>0989804768</t>
  </si>
  <si>
    <t>Rthym-Đức</t>
  </si>
  <si>
    <t xml:space="preserve">SAMSUNG-Hãnh </t>
  </si>
  <si>
    <t>SAMSUNG</t>
  </si>
  <si>
    <t>SAMSUNG-Lành</t>
  </si>
  <si>
    <t>Mr.Lành</t>
  </si>
  <si>
    <t>"0973 565 444</t>
  </si>
  <si>
    <t>duclanh.ng@samsung.com</t>
  </si>
  <si>
    <t>SAMSUNG-Nhu</t>
  </si>
  <si>
    <t xml:space="preserve">SAMSUNG-Tấn Anh </t>
  </si>
  <si>
    <t xml:space="preserve">SAMSUNG-Vinh </t>
  </si>
  <si>
    <t>"0987 740 460</t>
  </si>
  <si>
    <t>SDG-Hợi</t>
  </si>
  <si>
    <t>Ms.Hợi</t>
  </si>
  <si>
    <t xml:space="preserve">SD Global </t>
  </si>
  <si>
    <t>XN3, KCN Đại An, Hải Dương</t>
  </si>
  <si>
    <t xml:space="preserve">SDG-Nhung </t>
  </si>
  <si>
    <t>"0966 110 072</t>
  </si>
  <si>
    <t>nguyenthinhung@61cns.co.kr</t>
  </si>
  <si>
    <t>SEMECODEN-Hoàn</t>
  </si>
  <si>
    <t>Hoan Nguyen (Ms.)</t>
  </si>
  <si>
    <t>SEMECO VIỆT NAM</t>
  </si>
  <si>
    <t>Tầng 12, Tòa nhà hỗn hợp Sông Đà – Hà Đông, KM 10 đường Trần Phú, Phường Văn Quán, Quận Hà Đông, thành phố Hà Nội</t>
  </si>
  <si>
    <t>84-979630187</t>
  </si>
  <si>
    <t>hoan@semeco.com.vn</t>
  </si>
  <si>
    <t>SMAC-Kiều</t>
  </si>
  <si>
    <t xml:space="preserve">Mr.Kiều </t>
  </si>
  <si>
    <t>S-mac</t>
  </si>
  <si>
    <t>Lô E8, KCN Quế Võ, Phường Vân Dương, Thành phố Bắc Ninh, Bắc Ninh.</t>
  </si>
  <si>
    <t>nx.kieu@s-mac.co.kr</t>
  </si>
  <si>
    <t xml:space="preserve">SMT-Ngọc </t>
  </si>
  <si>
    <t>Ms. Ngọc</t>
  </si>
  <si>
    <t>SMT Việt Nam</t>
  </si>
  <si>
    <t xml:space="preserve">SORA-Chuyên </t>
  </si>
  <si>
    <t>SORA</t>
  </si>
  <si>
    <t>"0972857053</t>
  </si>
  <si>
    <t>SORA-Đà</t>
  </si>
  <si>
    <t>Mr.Đà</t>
  </si>
  <si>
    <t>"0985 056 587</t>
  </si>
  <si>
    <t>dadt@sora.vn</t>
  </si>
  <si>
    <t xml:space="preserve">SORAQT-Minh </t>
  </si>
  <si>
    <t>Ms.Minh</t>
  </si>
  <si>
    <t>QUANG TRUNG- SORA</t>
  </si>
  <si>
    <t>số 4, lô 5, KCN Lai xá Kim chung hoài đức HN</t>
  </si>
  <si>
    <t>"0987153026</t>
  </si>
  <si>
    <t xml:space="preserve">SORAQT-Trang </t>
  </si>
  <si>
    <t>Ms.Trang</t>
  </si>
  <si>
    <t>"0982 778 597</t>
  </si>
  <si>
    <t xml:space="preserve">SORAQT-Trường </t>
  </si>
  <si>
    <t>"0917238568</t>
  </si>
  <si>
    <t>truongna@sora.vn</t>
  </si>
  <si>
    <t xml:space="preserve">SORAQT-Tuyết </t>
  </si>
  <si>
    <t>0986 453 031</t>
  </si>
  <si>
    <t>s-sales@sora.vn</t>
  </si>
  <si>
    <t xml:space="preserve">SORA-Việt </t>
  </si>
  <si>
    <t>"0989330084</t>
  </si>
  <si>
    <t xml:space="preserve">SPINDEX-Thắng </t>
  </si>
  <si>
    <t xml:space="preserve">SPINDEX-Vân Anh </t>
  </si>
  <si>
    <t>"0987987738</t>
  </si>
  <si>
    <t xml:space="preserve">SUNRISE-Hải </t>
  </si>
  <si>
    <t>Mr.Hải</t>
  </si>
  <si>
    <t>"0913 320 140</t>
  </si>
  <si>
    <t>sales10@sunrisetrading.com.vn</t>
  </si>
  <si>
    <t xml:space="preserve">SVO-Hùng </t>
  </si>
  <si>
    <t>Mr. Hùng (Manager_ Phụ trách mua hàng cho LGD)</t>
  </si>
  <si>
    <t>Serveone Việt Nam</t>
  </si>
  <si>
    <t>Tòa nhà S1, lô đất LG, KCN Tràng Duệ, An Dương, Hải Phòng</t>
  </si>
  <si>
    <t>langdon.vu@serveone.vn</t>
  </si>
  <si>
    <t>SVO-Sơn</t>
  </si>
  <si>
    <t>Mr Sơn (Manager_ phụ trách mua hàng cho LG Innotek)</t>
  </si>
  <si>
    <t>0912 283 545</t>
  </si>
  <si>
    <t>TAMCHI-Thanh</t>
  </si>
  <si>
    <t>Mr.Thanh</t>
  </si>
  <si>
    <t>Thôn Hội Phụ, Xã Đông Hội, Đông Anh, HN</t>
  </si>
  <si>
    <t>TAMCHI--Thùy</t>
  </si>
  <si>
    <t>TANPHAT-TràMy</t>
  </si>
  <si>
    <t xml:space="preserve">TBD-Hà </t>
  </si>
  <si>
    <t>THÁI BÌNH DƯƠNG PITC</t>
  </si>
  <si>
    <t xml:space="preserve">TBD-Hương </t>
  </si>
  <si>
    <t>09.6365.2627</t>
  </si>
  <si>
    <t xml:space="preserve">TENMAS-Giang </t>
  </si>
  <si>
    <t>0982 376 634</t>
  </si>
  <si>
    <t xml:space="preserve">pur01@temas.vn
</t>
  </si>
  <si>
    <t xml:space="preserve">TGCN-Chung </t>
  </si>
  <si>
    <t xml:space="preserve">TGCN-Huyền </t>
  </si>
  <si>
    <t xml:space="preserve">Thế giới công nghiệp </t>
  </si>
  <si>
    <t>Số 51, Đường Số 2, Phường Hiệp Bình Phước, Quận Thủ Đức, TP. Hồ Chí Minh</t>
  </si>
  <si>
    <t>0902.300.456
0965004464</t>
  </si>
  <si>
    <t>muahang02@thegioicongnghiep.com</t>
  </si>
  <si>
    <t xml:space="preserve">THAIKHUONG-Vân </t>
  </si>
  <si>
    <t xml:space="preserve">Thái Khương </t>
  </si>
  <si>
    <t>Số 38A, Phan Văn Sử, P13, Quận Tân Bình, HCM</t>
  </si>
  <si>
    <t>servicetktech@thaikhuongpump.com</t>
  </si>
  <si>
    <t xml:space="preserve">TOANTHINH-Quyết </t>
  </si>
  <si>
    <t>TRUONGPHAT-Khánh</t>
  </si>
  <si>
    <t xml:space="preserve">TTH-Mai </t>
  </si>
  <si>
    <t xml:space="preserve">TTP-Minh </t>
  </si>
  <si>
    <t>0932787386</t>
  </si>
  <si>
    <t xml:space="preserve">TUNGLAM-Tùng </t>
  </si>
  <si>
    <t>0912112055</t>
  </si>
  <si>
    <t>UENO-Dương</t>
  </si>
  <si>
    <t>Ms. Thùy Dương</t>
  </si>
  <si>
    <t>UENO</t>
  </si>
  <si>
    <t>Tầng 7, Số 628C Xa Lộ Hà Nội, Phường An Phú, Quận 2, TP.HCM</t>
  </si>
  <si>
    <t xml:space="preserve">uvc@ueno.com.vn   </t>
  </si>
  <si>
    <t xml:space="preserve">UFO-Tuân </t>
  </si>
  <si>
    <t>Mr. Tuân</t>
  </si>
  <si>
    <t>UFO</t>
  </si>
  <si>
    <t>Phòng 201, tòa nhà Vinaconex B, Xuân Đỉnh, Từ Liêm, Hà Nội</t>
  </si>
  <si>
    <t>0948132200
0966525900</t>
  </si>
  <si>
    <t>tuan.sales06@gmail.com</t>
  </si>
  <si>
    <t xml:space="preserve">VICCO-Hằng </t>
  </si>
  <si>
    <t>VICCO TECHNOLOGY JOINT STOCK COMPANY</t>
  </si>
  <si>
    <t>No.27, 332/7/24 Alley, 332  Lane, Hoang Cong Chat St, Phu Dien Ward, Bac Tu Liem Dist, Ha Noi.</t>
  </si>
  <si>
    <t>"0981.844.535</t>
  </si>
  <si>
    <t>sales1@vicotech.vn</t>
  </si>
  <si>
    <t xml:space="preserve">VICCO-Tùng </t>
  </si>
  <si>
    <t>gm@vicotech.vn</t>
  </si>
  <si>
    <t xml:space="preserve">VIETNHAT-Hiệp </t>
  </si>
  <si>
    <t xml:space="preserve">VINASORA-Quân </t>
  </si>
  <si>
    <t>Mr. Quân
Mr. Tân</t>
  </si>
  <si>
    <t>Vinasora</t>
  </si>
  <si>
    <t>Số 125/37 Bùi Đình Túy, 
Phường 24, Quận Bình 
Thạnh, Thành phố Hồ Chí 
Minh</t>
  </si>
  <si>
    <t xml:space="preserve">0948 777 786
0935.006.386
</t>
  </si>
  <si>
    <t xml:space="preserve">quan.vinasora@gmail.com
sales.vinasora@gmail.com
</t>
  </si>
  <si>
    <t xml:space="preserve">YOUNGFAST-Thương </t>
  </si>
  <si>
    <t>Ms Trinh</t>
  </si>
  <si>
    <t>Young Fast</t>
  </si>
  <si>
    <t>trinhnguyen@yfo.vn</t>
  </si>
  <si>
    <t>YOUNGFAST-Trinh</t>
  </si>
  <si>
    <t xml:space="preserve">Ms Thương
</t>
  </si>
  <si>
    <t xml:space="preserve">
0 168 993 2613 </t>
  </si>
  <si>
    <t xml:space="preserve">thuthuong@yfo.vn
</t>
  </si>
  <si>
    <t xml:space="preserve">YUASA-Hà </t>
  </si>
  <si>
    <t>Mr.Hà</t>
  </si>
  <si>
    <t>"0909551098</t>
  </si>
  <si>
    <t>ha.vu@yuasa.com.vn</t>
  </si>
  <si>
    <t>YUASA-Mizumoto</t>
  </si>
  <si>
    <t>Mizumoto</t>
  </si>
  <si>
    <t>2395rm@yuasa.com.vn</t>
  </si>
  <si>
    <t xml:space="preserve">YUASA-Tám </t>
  </si>
  <si>
    <t>096-4932-925</t>
  </si>
  <si>
    <t>ZIGI-Thu</t>
  </si>
  <si>
    <t>Ms.Thu</t>
  </si>
  <si>
    <t xml:space="preserve">Zigi Vina </t>
  </si>
  <si>
    <t>Lô số A5, dự án khu nhà ở để bán, Phường Mỹ Đình 1, Quận Nam Từ Liêm, Hà Nội,</t>
  </si>
  <si>
    <t>We hope this quotation meets your requirements and look forward to receiving your order soon!</t>
  </si>
  <si>
    <t xml:space="preserve">Công ty cổ phần RTC Technology Việt Nam </t>
  </si>
  <si>
    <t>RTC Technology Vietnam JSC</t>
  </si>
  <si>
    <t xml:space="preserve">Số nhà A52 TT10 KĐT mới Văn Quán, Hà Đông, Hà Nội, Việt Nam </t>
  </si>
  <si>
    <t xml:space="preserve">A52 TT10, Van Quan New Urban Area, Van Quan Ward, Ha Dong Distric, Hanoi, Vietnam </t>
  </si>
  <si>
    <t>Hotmail: RTCtechnology@outlook.com</t>
  </si>
  <si>
    <t>Website: http://rtc.edu.vn or http://rtctechnology.com.vn</t>
  </si>
  <si>
    <t>QUOTATION</t>
  </si>
  <si>
    <t>Nguyễn Dũng</t>
  </si>
  <si>
    <t>0389961275</t>
  </si>
  <si>
    <t>sales01@rtc.edu.vn</t>
  </si>
  <si>
    <t>RTCCOGNEX1</t>
  </si>
  <si>
    <t>tuyenlethanh@gmail.com</t>
  </si>
  <si>
    <t>Bosung tuyên</t>
  </si>
  <si>
    <t>Mr.Tuyên</t>
  </si>
  <si>
    <t>+84.1668.004.332</t>
  </si>
  <si>
    <t>3rd Floor, No. 69, Ba Trieu Street, Nguyen Du Ward, Hai Ba Trung District, Hanoi City, Vietnam</t>
  </si>
  <si>
    <t>BOSUNG KY NAM INDUSTRIAL AND TRADING JOINT STOCK COMPANY</t>
  </si>
  <si>
    <t>CCB-84901-2001-05</t>
  </si>
  <si>
    <t xml:space="preserve">  Cognex X-Coded M12 Ethernet Cable (5M Length)</t>
  </si>
  <si>
    <t xml:space="preserve">Vision lighting </t>
  </si>
  <si>
    <t>VL-EC3POW-05-C2</t>
  </si>
  <si>
    <t>Led Light Controller</t>
  </si>
  <si>
    <t>Komohara- Mektec</t>
  </si>
  <si>
    <t>Mr.Komohara</t>
  </si>
  <si>
    <t>MEKTEC Manufacturing Corp LTD</t>
  </si>
  <si>
    <t>Thang Long II IDP, Hung Yen Provice</t>
  </si>
  <si>
    <t>yuji.komohara@mmcv.mektec.com</t>
  </si>
  <si>
    <t>Giảng- MEK</t>
  </si>
  <si>
    <t>Mr. Giảng</t>
  </si>
  <si>
    <t>giang.nguyenvan@mmcv.mektec.com</t>
  </si>
  <si>
    <t>Model</t>
  </si>
  <si>
    <t>list</t>
  </si>
  <si>
    <t>disc</t>
  </si>
  <si>
    <t>disc pr</t>
  </si>
  <si>
    <t>Price</t>
  </si>
  <si>
    <t>quarity</t>
  </si>
  <si>
    <t>Total price</t>
  </si>
  <si>
    <t>DataMan 303X Fixed Mount ID Reader</t>
  </si>
  <si>
    <t>DMR-303X-00</t>
  </si>
  <si>
    <t>exchange rate</t>
  </si>
  <si>
    <t>giá X1.4</t>
  </si>
  <si>
    <t>XXX</t>
  </si>
  <si>
    <t>Cognex Std. Ethernet Cable, 5M (15')</t>
  </si>
  <si>
    <t>CCB-84901-1003-05</t>
  </si>
  <si>
    <t>Power and I/O Cable, M12-12 (5M Length)</t>
  </si>
  <si>
    <t xml:space="preserve"> CCB-PWRIO-05</t>
  </si>
  <si>
    <t>IS8402M-363-50</t>
  </si>
  <si>
    <t>In-Sight 8402 With PatMax without PatMax Redline</t>
  </si>
  <si>
    <t>CCB-M8IO-05</t>
  </si>
  <si>
    <t>In-Sight Micro Trigger/Strobe Cable, 2 m</t>
  </si>
  <si>
    <t>POE</t>
  </si>
  <si>
    <t>power of ethernet supply unit</t>
  </si>
  <si>
    <t>VL-EXC100100W</t>
  </si>
  <si>
    <t>service</t>
  </si>
  <si>
    <t>RFTEC</t>
  </si>
  <si>
    <t>Total</t>
  </si>
  <si>
    <t xml:space="preserve"> PHU CHAN - TU SON - BAC NINH.</t>
  </si>
  <si>
    <t>Mr.Hung</t>
  </si>
  <si>
    <t xml:space="preserve"> 0968.666.616 </t>
  </si>
  <si>
    <t>nguyenviethung2501@gmail.com</t>
  </si>
  <si>
    <t xml:space="preserve">Add: </t>
  </si>
  <si>
    <t xml:space="preserve">Attn: </t>
  </si>
  <si>
    <r>
      <t>Mail:</t>
    </r>
    <r>
      <rPr>
        <b/>
        <i/>
        <u/>
        <sz val="9"/>
        <color theme="3" tint="0.39997558519241921"/>
        <rFont val="Arial"/>
        <family val="2"/>
      </rPr>
      <t xml:space="preserve"> </t>
    </r>
  </si>
  <si>
    <t>RFTech</t>
  </si>
  <si>
    <t>Km9, National Road 1A, Hoang Mai Dist.
10 0000, Hanoi, Vietnam</t>
  </si>
  <si>
    <t>986 886 416</t>
  </si>
  <si>
    <t>ABB Ltd.</t>
  </si>
  <si>
    <t>Ms.Uyen</t>
  </si>
  <si>
    <t>Ms.Uyên ABB</t>
  </si>
  <si>
    <t>Uyen.nguyenkim@vn.abb.com</t>
  </si>
  <si>
    <t>Lê Hương</t>
  </si>
  <si>
    <t>0976 905 549</t>
  </si>
  <si>
    <t>le.huong@rtc.edu.vn</t>
  </si>
  <si>
    <t>Tối đa đặt cọc 30-50%, còn lại thanh toán sau 15 ngày</t>
  </si>
  <si>
    <t>* Payment :100%  will be paid  after 1 month of receiving the goods</t>
  </si>
  <si>
    <t xml:space="preserve"> Schneider Electric Viet Nam</t>
  </si>
  <si>
    <t>Saigon Hi-tech Park in District 9, Ho Chi Minh City, Viet Nam</t>
  </si>
  <si>
    <t>TOTAL PRICE (This price is not included VAT)</t>
  </si>
  <si>
    <t>Mr./Ms.</t>
  </si>
  <si>
    <t>Ms.Huong</t>
  </si>
  <si>
    <t>pcs</t>
  </si>
  <si>
    <t>set/ bộ</t>
  </si>
  <si>
    <t>leasa@wintek.com.tw</t>
  </si>
  <si>
    <t>Ms.Ái</t>
  </si>
  <si>
    <t>Công ty TNHH Ly Việt Nam</t>
  </si>
  <si>
    <t>Lô Q, Khu công nghiệp Quang Châu, Xã Quang Châu, Huyện Việt Yên, Tỉnh Bắc Giang</t>
  </si>
  <si>
    <t>ngocna@auto-tech.vn</t>
  </si>
  <si>
    <t>Lô D1-1, KCN Đại Đồng-Hoàn Sơn, xã Hoàn Sơn, huyện Tiên Du, tỉnh Bắc Ninh, Việt Nam</t>
  </si>
  <si>
    <t>0968403037</t>
  </si>
  <si>
    <t>Công ty cổ phần chế tạo máy Autotech</t>
  </si>
  <si>
    <t>Ms.Ngọc-ATT</t>
  </si>
  <si>
    <t>VND</t>
  </si>
  <si>
    <t>VAT</t>
  </si>
  <si>
    <t>total payment</t>
  </si>
  <si>
    <t>TOTAL PAYMENT</t>
  </si>
  <si>
    <r>
      <rPr>
        <b/>
        <sz val="12"/>
        <rFont val="Times New Roman"/>
        <family val="1"/>
      </rPr>
      <t>* Delivery and fees:</t>
    </r>
    <r>
      <rPr>
        <sz val="12"/>
        <rFont val="Times New Roman"/>
        <family val="1"/>
      </rPr>
      <t>Prices do include shipping costs  and  in HaNoi.</t>
    </r>
  </si>
  <si>
    <t>duytv@auto-tech.vn</t>
  </si>
  <si>
    <t>Mr.Duy-ATT</t>
  </si>
  <si>
    <t>Mr.Duy</t>
  </si>
  <si>
    <r>
      <t>*</t>
    </r>
    <r>
      <rPr>
        <b/>
        <sz val="9"/>
        <color theme="1"/>
        <rFont val="Arial"/>
        <family val="2"/>
      </rPr>
      <t xml:space="preserve"> Validity</t>
    </r>
    <r>
      <rPr>
        <sz val="9"/>
        <color theme="1"/>
        <rFont val="Arial"/>
        <family val="2"/>
      </rPr>
      <t>: 30 days from the date of quotation.</t>
    </r>
  </si>
  <si>
    <r>
      <t xml:space="preserve">* </t>
    </r>
    <r>
      <rPr>
        <b/>
        <sz val="12"/>
        <rFont val="Times New Roman"/>
        <family val="1"/>
      </rPr>
      <t xml:space="preserve"> Delivery and fees: </t>
    </r>
    <r>
      <rPr>
        <sz val="12"/>
        <rFont val="Times New Roman"/>
        <family val="1"/>
      </rPr>
      <t xml:space="preserve"> This price is included delivery fee.</t>
    </r>
  </si>
  <si>
    <t>Hoa VT &lt;hoavt@auto-tech.vn&gt;</t>
  </si>
  <si>
    <t>Ms.Hoa- ATT</t>
  </si>
  <si>
    <t>Ms.Hoa</t>
  </si>
  <si>
    <t>Mr.Hường - VISC</t>
  </si>
  <si>
    <t>Mr.Hường</t>
  </si>
  <si>
    <t>Công ty CP Dịch vụ &amp; Giải pháp Công nghiệp Việt Nam</t>
  </si>
  <si>
    <t>B4-BT3, KĐT Mỹ Đình II, Nam Từ Liêm, Hà Nội</t>
  </si>
  <si>
    <t>0988 624 806</t>
  </si>
  <si>
    <t>huong_visc@machines.com.vn</t>
  </si>
  <si>
    <t>Đỗ Hoa</t>
  </si>
  <si>
    <t>0399 103 595</t>
  </si>
  <si>
    <t>dothi.hoa@gmail.com</t>
  </si>
  <si>
    <t>viettap@gmail.com</t>
  </si>
  <si>
    <r>
      <rPr>
        <b/>
        <sz val="9"/>
        <color theme="1"/>
        <rFont val="Arial"/>
        <family val="2"/>
      </rPr>
      <t>* Payment :</t>
    </r>
    <r>
      <rPr>
        <sz val="9"/>
        <color theme="1"/>
        <rFont val="Arial"/>
        <family val="2"/>
      </rPr>
      <t>Deposit 50% of the orders immediately after signing the contract and Payment of 50% of contract value before delivery</t>
    </r>
  </si>
  <si>
    <r>
      <rPr>
        <b/>
        <sz val="9"/>
        <color theme="1"/>
        <rFont val="Arial"/>
        <family val="2"/>
      </rPr>
      <t>* Delivery and fees:</t>
    </r>
    <r>
      <rPr>
        <sz val="9"/>
        <color theme="1"/>
        <rFont val="Arial"/>
        <family val="2"/>
      </rPr>
      <t xml:space="preserve">  This price is included delivery fee.</t>
    </r>
  </si>
  <si>
    <r>
      <t>*</t>
    </r>
    <r>
      <rPr>
        <b/>
        <sz val="9"/>
        <color theme="1"/>
        <rFont val="Arial"/>
        <family val="2"/>
      </rPr>
      <t xml:space="preserve"> Adjusting</t>
    </r>
    <r>
      <rPr>
        <sz val="9"/>
        <color theme="1"/>
        <rFont val="Arial"/>
        <family val="2"/>
      </rPr>
      <t>: To be discussed case by case</t>
    </r>
  </si>
  <si>
    <t>0965 170 196</t>
  </si>
  <si>
    <t>Lens</t>
  </si>
  <si>
    <r>
      <t xml:space="preserve">Bộ xử lý hình ảnh IS8401M-363-50
</t>
    </r>
    <r>
      <rPr>
        <i/>
        <sz val="12"/>
        <color theme="1"/>
        <rFont val="Arial"/>
        <family val="2"/>
        <scheme val="minor"/>
      </rPr>
      <t>Bao gồm:</t>
    </r>
  </si>
  <si>
    <t>IS8401M-363-50</t>
  </si>
  <si>
    <t>IS8401M-363-50 - In-Sight 8401, 1.3MP, with PatMax</t>
  </si>
  <si>
    <t>Cognex X-Coded M12 Ethernet Cable (5M Length)</t>
  </si>
  <si>
    <t>CCB-M8IO-05 - In-Sight Micro Trigger/Strobe Cable, 5 m</t>
  </si>
  <si>
    <t>VL-HR4675B</t>
  </si>
  <si>
    <t>Lighting</t>
  </si>
  <si>
    <t>VL-HR4675W</t>
  </si>
  <si>
    <t>SV-5014H</t>
  </si>
  <si>
    <t>SV-EXR40</t>
  </si>
  <si>
    <t>Tube</t>
  </si>
  <si>
    <t>SV-EXR5</t>
  </si>
  <si>
    <t>Controller lighting</t>
  </si>
  <si>
    <t>2-4 weeks</t>
  </si>
  <si>
    <t>Tám tỉ năm trăm tám mươi bảy triệu, chín trăm hai mươi nghìn đồng chẵn./.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</si>
</sst>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_([$VND]\ * #,##0_);_([$VND]\ * \(#,##0\);_([$VND]\ * &quot;-&quot;??_);_(@_)"/>
    <numFmt numFmtId="165" formatCode="_-* #,##0\ _₫_-;\-* #,##0\ _₫_-;_-* &quot;-&quot;??\ _₫_-;_-@_-"/>
    <numFmt numFmtId="166" formatCode="[&lt;=999999][$-1000000]###\-###;[$-1000000]\(##\)\ ###\-###"/>
    <numFmt numFmtId="167" formatCode="[&lt;=9999999][$-1000000]###\-####;[$-1000000]\(#\)\ ###\-####"/>
    <numFmt numFmtId="168" formatCode="_(* #,##0_);_(* \(#,##0\);_(* &quot;-&quot;??_);_(@_)"/>
  </numFmts>
  <fonts count="48" x14ac:knownFonts="1">
    <font>
      <sz val="11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theme="1"/>
      <name val="Arial"/>
      <family val="2"/>
      <scheme val="minor"/>
    </font>
    <font>
      <b/>
      <sz val="14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  <charset val="163"/>
    </font>
    <font>
      <b/>
      <sz val="12"/>
      <name val="Times New Roman"/>
      <family val="1"/>
      <charset val="163"/>
    </font>
    <font>
      <b/>
      <i/>
      <sz val="10"/>
      <name val="Arial"/>
      <family val="2"/>
    </font>
    <font>
      <sz val="11"/>
      <name val="Times New Roman"/>
      <family val="1"/>
      <scheme val="major"/>
    </font>
    <font>
      <sz val="10"/>
      <name val="Arial"/>
      <family val="2"/>
      <charset val="163"/>
    </font>
    <font>
      <sz val="9"/>
      <name val="Arial"/>
      <family val="2"/>
      <charset val="163"/>
    </font>
    <font>
      <sz val="9"/>
      <color theme="1"/>
      <name val="Arial"/>
      <family val="2"/>
      <charset val="163"/>
    </font>
    <font>
      <u/>
      <sz val="9"/>
      <color rgb="FF0070C0"/>
      <name val="Arial"/>
      <family val="2"/>
      <charset val="163"/>
    </font>
    <font>
      <b/>
      <i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u/>
      <sz val="9"/>
      <color theme="1"/>
      <name val="Arial"/>
      <family val="2"/>
    </font>
    <font>
      <b/>
      <sz val="10"/>
      <color rgb="FFFF0000"/>
      <name val="Arial"/>
      <family val="2"/>
    </font>
    <font>
      <b/>
      <i/>
      <sz val="9"/>
      <color theme="1"/>
      <name val="Arial"/>
      <family val="2"/>
    </font>
    <font>
      <b/>
      <sz val="9"/>
      <color rgb="FFFF0000"/>
      <name val="Arial"/>
      <family val="2"/>
    </font>
    <font>
      <b/>
      <i/>
      <sz val="9"/>
      <color rgb="FFFF0000"/>
      <name val="Arial"/>
      <family val="2"/>
    </font>
    <font>
      <sz val="9"/>
      <name val="Arial"/>
      <family val="2"/>
    </font>
    <font>
      <u/>
      <sz val="9"/>
      <color rgb="FF0070C0"/>
      <name val="Arial"/>
      <family val="2"/>
    </font>
    <font>
      <u/>
      <sz val="9"/>
      <color rgb="FF0070C0"/>
      <name val="Arial"/>
      <family val="2"/>
      <scheme val="minor"/>
    </font>
    <font>
      <sz val="9"/>
      <color theme="10"/>
      <name val="Arial"/>
      <family val="2"/>
    </font>
    <font>
      <sz val="9"/>
      <color rgb="FF1F497D"/>
      <name val="Arial"/>
      <family val="2"/>
    </font>
    <font>
      <u/>
      <sz val="11"/>
      <color rgb="FF0070C0"/>
      <name val="Arial"/>
      <family val="2"/>
      <scheme val="minor"/>
    </font>
    <font>
      <i/>
      <sz val="9"/>
      <color theme="1"/>
      <name val="Arial"/>
      <family val="2"/>
    </font>
    <font>
      <b/>
      <sz val="11"/>
      <color theme="1"/>
      <name val="Arial"/>
      <family val="2"/>
    </font>
    <font>
      <b/>
      <u/>
      <sz val="26"/>
      <color theme="1"/>
      <name val="Arial"/>
      <family val="2"/>
    </font>
    <font>
      <u/>
      <sz val="9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4"/>
      <color rgb="FF000000"/>
      <name val="Arial"/>
      <family val="2"/>
      <scheme val="minor"/>
    </font>
    <font>
      <b/>
      <i/>
      <u/>
      <sz val="9"/>
      <color theme="3" tint="0.39997558519241921"/>
      <name val="Arial"/>
      <family val="2"/>
    </font>
    <font>
      <b/>
      <sz val="20"/>
      <color theme="1"/>
      <name val="Arial"/>
      <family val="2"/>
    </font>
    <font>
      <i/>
      <sz val="12"/>
      <color theme="1"/>
      <name val="Arial"/>
      <family val="2"/>
      <scheme val="minor"/>
    </font>
    <font>
      <b/>
      <i/>
      <sz val="12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43" fontId="5" fillId="0" borderId="0" applyFont="0" applyFill="0" applyBorder="0" applyAlignment="0" applyProtection="0"/>
  </cellStyleXfs>
  <cellXfs count="231">
    <xf numFmtId="0" fontId="0" fillId="0" borderId="0" xfId="0"/>
    <xf numFmtId="0" fontId="6" fillId="2" borderId="5" xfId="0" applyFont="1" applyFill="1" applyBorder="1" applyAlignment="1"/>
    <xf numFmtId="0" fontId="6" fillId="2" borderId="6" xfId="0" applyFont="1" applyFill="1" applyBorder="1" applyAlignment="1"/>
    <xf numFmtId="0" fontId="6" fillId="2" borderId="7" xfId="0" applyFont="1" applyFill="1" applyBorder="1" applyAlignment="1"/>
    <xf numFmtId="0" fontId="7" fillId="0" borderId="0" xfId="0" applyFont="1"/>
    <xf numFmtId="0" fontId="7" fillId="0" borderId="5" xfId="0" quotePrefix="1" applyFont="1" applyBorder="1" applyAlignment="1">
      <alignment horizontal="left" vertical="center" wrapText="1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5" xfId="0" applyFont="1" applyBorder="1" applyAlignment="1">
      <alignment horizontal="left" vertical="center" wrapText="1"/>
    </xf>
    <xf numFmtId="0" fontId="7" fillId="0" borderId="6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9" fillId="0" borderId="5" xfId="0" applyFont="1" applyBorder="1" applyAlignment="1">
      <alignment horizontal="left" vertical="center" wrapText="1"/>
    </xf>
    <xf numFmtId="0" fontId="7" fillId="0" borderId="5" xfId="0" applyFont="1" applyBorder="1" applyAlignment="1">
      <alignment wrapText="1"/>
    </xf>
    <xf numFmtId="0" fontId="11" fillId="0" borderId="5" xfId="0" applyFont="1" applyBorder="1"/>
    <xf numFmtId="0" fontId="12" fillId="0" borderId="5" xfId="0" applyFont="1" applyBorder="1" applyAlignment="1">
      <alignment vertical="center" wrapText="1"/>
    </xf>
    <xf numFmtId="0" fontId="13" fillId="0" borderId="5" xfId="0" applyFont="1" applyBorder="1"/>
    <xf numFmtId="0" fontId="14" fillId="0" borderId="5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/>
    </xf>
    <xf numFmtId="0" fontId="0" fillId="0" borderId="5" xfId="0" applyBorder="1"/>
    <xf numFmtId="2" fontId="13" fillId="0" borderId="5" xfId="0" applyNumberFormat="1" applyFont="1" applyBorder="1" applyAlignment="1">
      <alignment horizontal="center"/>
    </xf>
    <xf numFmtId="0" fontId="4" fillId="0" borderId="0" xfId="1"/>
    <xf numFmtId="0" fontId="18" fillId="0" borderId="0" xfId="0" applyFont="1"/>
    <xf numFmtId="0" fontId="19" fillId="0" borderId="0" xfId="0" applyFont="1"/>
    <xf numFmtId="0" fontId="21" fillId="0" borderId="0" xfId="0" applyFont="1"/>
    <xf numFmtId="0" fontId="20" fillId="0" borderId="2" xfId="0" applyFont="1" applyBorder="1" applyAlignment="1">
      <alignment horizontal="center"/>
    </xf>
    <xf numFmtId="0" fontId="21" fillId="0" borderId="2" xfId="0" applyFont="1" applyBorder="1" applyAlignment="1">
      <alignment horizontal="center"/>
    </xf>
    <xf numFmtId="0" fontId="21" fillId="0" borderId="0" xfId="0" applyFont="1" applyBorder="1" applyAlignment="1">
      <alignment horizontal="center"/>
    </xf>
    <xf numFmtId="0" fontId="21" fillId="0" borderId="0" xfId="0" applyFont="1" applyBorder="1"/>
    <xf numFmtId="0" fontId="20" fillId="0" borderId="0" xfId="0" applyFont="1" applyBorder="1" applyAlignment="1">
      <alignment horizontal="left" vertical="center"/>
    </xf>
    <xf numFmtId="0" fontId="20" fillId="0" borderId="0" xfId="0" applyFont="1"/>
    <xf numFmtId="0" fontId="25" fillId="3" borderId="5" xfId="0" applyFont="1" applyFill="1" applyBorder="1" applyAlignment="1">
      <alignment horizontal="center" vertical="center" wrapText="1"/>
    </xf>
    <xf numFmtId="0" fontId="26" fillId="3" borderId="5" xfId="0" applyFont="1" applyFill="1" applyBorder="1" applyAlignment="1">
      <alignment horizontal="center" vertical="center" wrapText="1"/>
    </xf>
    <xf numFmtId="2" fontId="26" fillId="3" borderId="5" xfId="0" applyNumberFormat="1" applyFont="1" applyFill="1" applyBorder="1" applyAlignment="1">
      <alignment horizontal="center" vertical="center" wrapText="1"/>
    </xf>
    <xf numFmtId="0" fontId="14" fillId="0" borderId="5" xfId="0" applyFont="1" applyBorder="1" applyAlignment="1">
      <alignment horizontal="left" vertical="center" wrapText="1"/>
    </xf>
    <xf numFmtId="0" fontId="27" fillId="4" borderId="5" xfId="0" applyFont="1" applyFill="1" applyBorder="1" applyAlignment="1">
      <alignment horizontal="left" vertical="center" wrapText="1"/>
    </xf>
    <xf numFmtId="166" fontId="21" fillId="0" borderId="5" xfId="0" applyNumberFormat="1" applyFont="1" applyBorder="1" applyAlignment="1">
      <alignment horizontal="left" vertical="center" wrapText="1"/>
    </xf>
    <xf numFmtId="0" fontId="28" fillId="0" borderId="5" xfId="1" applyFont="1" applyBorder="1" applyAlignment="1" applyProtection="1">
      <alignment horizontal="left" vertical="center" wrapText="1"/>
    </xf>
    <xf numFmtId="0" fontId="27" fillId="0" borderId="5" xfId="0" applyFont="1" applyBorder="1" applyAlignment="1">
      <alignment horizontal="left" vertical="center" wrapText="1"/>
    </xf>
    <xf numFmtId="2" fontId="27" fillId="0" borderId="5" xfId="0" quotePrefix="1" applyNumberFormat="1" applyFont="1" applyBorder="1" applyAlignment="1">
      <alignment horizontal="left" vertical="center" wrapText="1"/>
    </xf>
    <xf numFmtId="0" fontId="29" fillId="0" borderId="5" xfId="1" applyFont="1" applyBorder="1" applyAlignment="1" applyProtection="1">
      <alignment horizontal="left" vertical="center" wrapText="1"/>
    </xf>
    <xf numFmtId="167" fontId="21" fillId="0" borderId="5" xfId="0" applyNumberFormat="1" applyFont="1" applyBorder="1" applyAlignment="1">
      <alignment horizontal="left" vertical="center" wrapText="1"/>
    </xf>
    <xf numFmtId="0" fontId="15" fillId="0" borderId="5" xfId="0" applyFont="1" applyBorder="1" applyAlignment="1">
      <alignment horizontal="left" vertical="center" wrapText="1"/>
    </xf>
    <xf numFmtId="0" fontId="21" fillId="0" borderId="5" xfId="0" applyFont="1" applyBorder="1" applyAlignment="1">
      <alignment horizontal="left" vertical="center" wrapText="1"/>
    </xf>
    <xf numFmtId="0" fontId="21" fillId="0" borderId="5" xfId="0" quotePrefix="1" applyFont="1" applyBorder="1" applyAlignment="1">
      <alignment horizontal="left" vertical="center" wrapText="1"/>
    </xf>
    <xf numFmtId="0" fontId="27" fillId="0" borderId="5" xfId="0" applyFont="1" applyBorder="1" applyAlignment="1">
      <alignment vertical="center" wrapText="1"/>
    </xf>
    <xf numFmtId="2" fontId="27" fillId="0" borderId="5" xfId="0" applyNumberFormat="1" applyFont="1" applyBorder="1" applyAlignment="1">
      <alignment horizontal="left" vertical="center" wrapText="1"/>
    </xf>
    <xf numFmtId="0" fontId="28" fillId="0" borderId="5" xfId="0" applyFont="1" applyBorder="1" applyAlignment="1">
      <alignment horizontal="left" vertical="center" wrapText="1"/>
    </xf>
    <xf numFmtId="2" fontId="30" fillId="0" borderId="5" xfId="1" applyNumberFormat="1" applyFont="1" applyBorder="1" applyAlignment="1" applyProtection="1">
      <alignment horizontal="left" vertical="center" wrapText="1"/>
    </xf>
    <xf numFmtId="0" fontId="21" fillId="0" borderId="5" xfId="0" applyFont="1" applyBorder="1" applyAlignment="1">
      <alignment vertical="center" wrapText="1"/>
    </xf>
    <xf numFmtId="0" fontId="27" fillId="4" borderId="5" xfId="0" applyFont="1" applyFill="1" applyBorder="1" applyAlignment="1">
      <alignment horizontal="left" vertical="center"/>
    </xf>
    <xf numFmtId="165" fontId="27" fillId="0" borderId="5" xfId="2" applyNumberFormat="1" applyFont="1" applyBorder="1" applyAlignment="1">
      <alignment horizontal="left" vertical="center" wrapText="1"/>
    </xf>
    <xf numFmtId="0" fontId="27" fillId="0" borderId="5" xfId="0" applyFont="1" applyFill="1" applyBorder="1" applyAlignment="1">
      <alignment horizontal="left" vertical="center" wrapText="1"/>
    </xf>
    <xf numFmtId="0" fontId="27" fillId="0" borderId="5" xfId="0" quotePrefix="1" applyFont="1" applyBorder="1" applyAlignment="1">
      <alignment horizontal="left" vertical="center" wrapText="1"/>
    </xf>
    <xf numFmtId="49" fontId="27" fillId="0" borderId="5" xfId="0" quotePrefix="1" applyNumberFormat="1" applyFont="1" applyBorder="1" applyAlignment="1">
      <alignment horizontal="left" vertical="center" wrapText="1"/>
    </xf>
    <xf numFmtId="166" fontId="28" fillId="0" borderId="5" xfId="1" applyNumberFormat="1" applyFont="1" applyBorder="1" applyAlignment="1" applyProtection="1">
      <alignment horizontal="left" vertical="center" wrapText="1"/>
    </xf>
    <xf numFmtId="49" fontId="27" fillId="0" borderId="5" xfId="0" applyNumberFormat="1" applyFont="1" applyBorder="1" applyAlignment="1">
      <alignment horizontal="left" vertical="center" wrapText="1"/>
    </xf>
    <xf numFmtId="2" fontId="29" fillId="0" borderId="5" xfId="1" applyNumberFormat="1" applyFont="1" applyBorder="1" applyAlignment="1" applyProtection="1">
      <alignment horizontal="left" vertical="center" wrapText="1"/>
    </xf>
    <xf numFmtId="3" fontId="21" fillId="0" borderId="5" xfId="0" quotePrefix="1" applyNumberFormat="1" applyFont="1" applyBorder="1" applyAlignment="1">
      <alignment horizontal="left" vertical="center" wrapText="1"/>
    </xf>
    <xf numFmtId="0" fontId="31" fillId="0" borderId="5" xfId="0" applyFont="1" applyBorder="1" applyAlignment="1">
      <alignment horizontal="left" vertical="center" wrapText="1"/>
    </xf>
    <xf numFmtId="0" fontId="27" fillId="0" borderId="5" xfId="0" applyFont="1" applyBorder="1" applyAlignment="1">
      <alignment horizontal="left" vertical="center"/>
    </xf>
    <xf numFmtId="0" fontId="27" fillId="4" borderId="5" xfId="0" applyFont="1" applyFill="1" applyBorder="1" applyAlignment="1">
      <alignment vertical="center" wrapText="1"/>
    </xf>
    <xf numFmtId="0" fontId="32" fillId="0" borderId="5" xfId="1" applyFont="1" applyBorder="1" applyAlignment="1" applyProtection="1">
      <alignment horizontal="left" vertical="center" wrapText="1"/>
    </xf>
    <xf numFmtId="2" fontId="14" fillId="0" borderId="5" xfId="0" applyNumberFormat="1" applyFont="1" applyBorder="1" applyAlignment="1">
      <alignment horizontal="left" vertical="center" wrapText="1"/>
    </xf>
    <xf numFmtId="0" fontId="16" fillId="0" borderId="5" xfId="0" applyFont="1" applyBorder="1" applyAlignment="1">
      <alignment horizontal="left" vertical="center" wrapText="1"/>
    </xf>
    <xf numFmtId="0" fontId="13" fillId="0" borderId="5" xfId="0" applyFont="1" applyBorder="1" applyAlignment="1">
      <alignment vertical="center"/>
    </xf>
    <xf numFmtId="2" fontId="13" fillId="0" borderId="5" xfId="0" applyNumberFormat="1" applyFont="1" applyBorder="1" applyAlignment="1">
      <alignment horizontal="right"/>
    </xf>
    <xf numFmtId="168" fontId="20" fillId="0" borderId="1" xfId="2" applyNumberFormat="1" applyFont="1" applyBorder="1"/>
    <xf numFmtId="168" fontId="21" fillId="0" borderId="2" xfId="2" applyNumberFormat="1" applyFont="1" applyBorder="1" applyAlignment="1">
      <alignment horizontal="center"/>
    </xf>
    <xf numFmtId="168" fontId="21" fillId="0" borderId="0" xfId="2" applyNumberFormat="1" applyFont="1" applyBorder="1"/>
    <xf numFmtId="168" fontId="18" fillId="0" borderId="0" xfId="2" applyNumberFormat="1" applyFont="1"/>
    <xf numFmtId="0" fontId="21" fillId="0" borderId="0" xfId="0" applyFont="1" applyAlignment="1">
      <alignment vertical="center" wrapText="1"/>
    </xf>
    <xf numFmtId="0" fontId="18" fillId="0" borderId="0" xfId="0" applyFont="1" applyAlignment="1">
      <alignment horizontal="center"/>
    </xf>
    <xf numFmtId="0" fontId="19" fillId="0" borderId="1" xfId="0" applyFont="1" applyBorder="1" applyAlignment="1">
      <alignment horizontal="center"/>
    </xf>
    <xf numFmtId="0" fontId="20" fillId="0" borderId="0" xfId="0" applyFont="1" applyBorder="1" applyAlignment="1">
      <alignment horizontal="center"/>
    </xf>
    <xf numFmtId="0" fontId="20" fillId="0" borderId="0" xfId="0" applyFont="1" applyBorder="1" applyAlignment="1">
      <alignment horizontal="center" vertical="center"/>
    </xf>
    <xf numFmtId="0" fontId="18" fillId="0" borderId="0" xfId="0" applyFont="1" applyBorder="1" applyAlignment="1">
      <alignment horizontal="center"/>
    </xf>
    <xf numFmtId="0" fontId="20" fillId="0" borderId="1" xfId="0" applyFont="1" applyBorder="1" applyAlignment="1">
      <alignment horizontal="left"/>
    </xf>
    <xf numFmtId="0" fontId="21" fillId="0" borderId="0" xfId="0" applyFont="1" applyAlignment="1">
      <alignment vertical="center"/>
    </xf>
    <xf numFmtId="0" fontId="21" fillId="0" borderId="0" xfId="0" applyFont="1" applyAlignment="1">
      <alignment vertical="top"/>
    </xf>
    <xf numFmtId="0" fontId="20" fillId="0" borderId="0" xfId="0" applyFont="1" applyBorder="1" applyAlignment="1">
      <alignment vertical="center"/>
    </xf>
    <xf numFmtId="0" fontId="0" fillId="0" borderId="0" xfId="0" quotePrefix="1"/>
    <xf numFmtId="2" fontId="14" fillId="0" borderId="5" xfId="0" quotePrefix="1" applyNumberFormat="1" applyFont="1" applyBorder="1" applyAlignment="1">
      <alignment horizontal="left" vertical="center" wrapText="1"/>
    </xf>
    <xf numFmtId="168" fontId="24" fillId="0" borderId="0" xfId="2" applyNumberFormat="1" applyFont="1" applyBorder="1" applyAlignment="1">
      <alignment vertical="center"/>
    </xf>
    <xf numFmtId="168" fontId="21" fillId="0" borderId="0" xfId="2" applyNumberFormat="1" applyFont="1" applyBorder="1" applyAlignment="1">
      <alignment vertical="center"/>
    </xf>
    <xf numFmtId="0" fontId="24" fillId="0" borderId="0" xfId="0" applyFont="1" applyBorder="1" applyAlignment="1">
      <alignment vertical="top"/>
    </xf>
    <xf numFmtId="0" fontId="21" fillId="0" borderId="0" xfId="0" applyFont="1" applyBorder="1" applyAlignment="1">
      <alignment vertical="top"/>
    </xf>
    <xf numFmtId="168" fontId="24" fillId="0" borderId="0" xfId="2" applyNumberFormat="1" applyFont="1" applyBorder="1" applyAlignment="1">
      <alignment vertical="top"/>
    </xf>
    <xf numFmtId="168" fontId="21" fillId="0" borderId="0" xfId="2" applyNumberFormat="1" applyFont="1" applyBorder="1" applyAlignment="1">
      <alignment vertical="top"/>
    </xf>
    <xf numFmtId="0" fontId="21" fillId="0" borderId="20" xfId="0" applyFont="1" applyBorder="1"/>
    <xf numFmtId="164" fontId="20" fillId="0" borderId="0" xfId="0" applyNumberFormat="1" applyFont="1" applyBorder="1" applyAlignment="1">
      <alignment vertical="center"/>
    </xf>
    <xf numFmtId="0" fontId="19" fillId="0" borderId="0" xfId="0" applyFont="1" applyBorder="1" applyAlignment="1">
      <alignment horizontal="center"/>
    </xf>
    <xf numFmtId="0" fontId="33" fillId="0" borderId="0" xfId="0" applyFont="1" applyBorder="1" applyAlignment="1">
      <alignment vertical="center"/>
    </xf>
    <xf numFmtId="43" fontId="21" fillId="0" borderId="0" xfId="0" applyNumberFormat="1" applyFont="1" applyAlignment="1">
      <alignment vertical="center"/>
    </xf>
    <xf numFmtId="4" fontId="0" fillId="0" borderId="0" xfId="0" applyNumberFormat="1"/>
    <xf numFmtId="168" fontId="0" fillId="0" borderId="0" xfId="2" applyNumberFormat="1" applyFont="1"/>
    <xf numFmtId="0" fontId="24" fillId="0" borderId="0" xfId="0" applyFont="1" applyBorder="1" applyAlignment="1">
      <alignment vertical="center"/>
    </xf>
    <xf numFmtId="168" fontId="21" fillId="0" borderId="0" xfId="0" applyNumberFormat="1" applyFont="1" applyAlignment="1">
      <alignment vertical="center"/>
    </xf>
    <xf numFmtId="0" fontId="4" fillId="0" borderId="5" xfId="1" applyBorder="1" applyAlignment="1" applyProtection="1">
      <alignment horizontal="center"/>
    </xf>
    <xf numFmtId="0" fontId="18" fillId="0" borderId="2" xfId="0" applyFont="1" applyBorder="1" applyAlignment="1">
      <alignment horizontal="center"/>
    </xf>
    <xf numFmtId="0" fontId="19" fillId="0" borderId="2" xfId="0" applyFont="1" applyBorder="1" applyAlignment="1">
      <alignment horizontal="center"/>
    </xf>
    <xf numFmtId="168" fontId="19" fillId="0" borderId="2" xfId="2" applyNumberFormat="1" applyFont="1" applyBorder="1"/>
    <xf numFmtId="0" fontId="19" fillId="0" borderId="21" xfId="0" applyFont="1" applyBorder="1"/>
    <xf numFmtId="0" fontId="19" fillId="0" borderId="20" xfId="0" applyFont="1" applyBorder="1" applyAlignment="1"/>
    <xf numFmtId="0" fontId="21" fillId="0" borderId="20" xfId="0" applyFont="1" applyBorder="1" applyAlignment="1">
      <alignment vertical="center"/>
    </xf>
    <xf numFmtId="0" fontId="24" fillId="0" borderId="22" xfId="0" applyFont="1" applyBorder="1" applyAlignment="1">
      <alignment vertical="top"/>
    </xf>
    <xf numFmtId="0" fontId="21" fillId="0" borderId="20" xfId="0" applyFont="1" applyBorder="1" applyAlignment="1">
      <alignment vertical="top"/>
    </xf>
    <xf numFmtId="164" fontId="20" fillId="0" borderId="22" xfId="0" applyNumberFormat="1" applyFont="1" applyBorder="1" applyAlignment="1">
      <alignment vertical="center"/>
    </xf>
    <xf numFmtId="0" fontId="34" fillId="0" borderId="22" xfId="0" applyFont="1" applyBorder="1" applyAlignment="1"/>
    <xf numFmtId="0" fontId="20" fillId="0" borderId="22" xfId="0" applyFont="1" applyBorder="1" applyAlignment="1">
      <alignment horizontal="left" vertical="center"/>
    </xf>
    <xf numFmtId="0" fontId="21" fillId="0" borderId="8" xfId="0" applyFont="1" applyBorder="1"/>
    <xf numFmtId="0" fontId="21" fillId="0" borderId="21" xfId="0" applyFont="1" applyBorder="1" applyAlignment="1">
      <alignment horizontal="center"/>
    </xf>
    <xf numFmtId="0" fontId="22" fillId="0" borderId="22" xfId="0" applyFont="1" applyBorder="1"/>
    <xf numFmtId="0" fontId="18" fillId="0" borderId="9" xfId="0" applyFont="1" applyBorder="1"/>
    <xf numFmtId="0" fontId="18" fillId="0" borderId="1" xfId="0" applyFont="1" applyBorder="1"/>
    <xf numFmtId="0" fontId="18" fillId="0" borderId="1" xfId="0" applyFont="1" applyBorder="1" applyAlignment="1">
      <alignment horizontal="center"/>
    </xf>
    <xf numFmtId="168" fontId="18" fillId="0" borderId="1" xfId="2" applyNumberFormat="1" applyFont="1" applyBorder="1"/>
    <xf numFmtId="0" fontId="18" fillId="0" borderId="16" xfId="0" applyFont="1" applyBorder="1"/>
    <xf numFmtId="0" fontId="4" fillId="0" borderId="5" xfId="1" applyBorder="1" applyAlignment="1">
      <alignment horizontal="left" vertical="center" wrapText="1"/>
    </xf>
    <xf numFmtId="3" fontId="0" fillId="0" borderId="0" xfId="0" applyNumberFormat="1"/>
    <xf numFmtId="0" fontId="40" fillId="0" borderId="0" xfId="0" applyFont="1"/>
    <xf numFmtId="168" fontId="40" fillId="0" borderId="0" xfId="2" applyNumberFormat="1" applyFont="1"/>
    <xf numFmtId="164" fontId="0" fillId="0" borderId="0" xfId="2" applyNumberFormat="1" applyFont="1"/>
    <xf numFmtId="164" fontId="40" fillId="0" borderId="0" xfId="2" applyNumberFormat="1" applyFont="1"/>
    <xf numFmtId="0" fontId="39" fillId="0" borderId="5" xfId="0" applyFont="1" applyBorder="1" applyAlignment="1">
      <alignment wrapText="1"/>
    </xf>
    <xf numFmtId="0" fontId="41" fillId="0" borderId="5" xfId="0" applyFont="1" applyBorder="1"/>
    <xf numFmtId="164" fontId="0" fillId="0" borderId="5" xfId="0" applyNumberFormat="1" applyBorder="1"/>
    <xf numFmtId="168" fontId="0" fillId="0" borderId="5" xfId="2" applyNumberFormat="1" applyFont="1" applyBorder="1"/>
    <xf numFmtId="164" fontId="0" fillId="0" borderId="5" xfId="2" applyNumberFormat="1" applyFont="1" applyBorder="1"/>
    <xf numFmtId="0" fontId="39" fillId="0" borderId="5" xfId="0" applyFont="1" applyBorder="1"/>
    <xf numFmtId="0" fontId="42" fillId="0" borderId="5" xfId="0" applyFont="1" applyBorder="1" applyAlignment="1"/>
    <xf numFmtId="0" fontId="43" fillId="0" borderId="5" xfId="0" applyFont="1" applyBorder="1" applyAlignment="1">
      <alignment horizontal="left" vertical="center" readingOrder="1"/>
    </xf>
    <xf numFmtId="0" fontId="41" fillId="0" borderId="5" xfId="0" applyFont="1" applyBorder="1" applyAlignment="1">
      <alignment wrapText="1"/>
    </xf>
    <xf numFmtId="168" fontId="40" fillId="5" borderId="5" xfId="2" applyNumberFormat="1" applyFont="1" applyFill="1" applyBorder="1"/>
    <xf numFmtId="0" fontId="16" fillId="0" borderId="5" xfId="0" quotePrefix="1" applyFont="1" applyBorder="1" applyAlignment="1">
      <alignment horizontal="left" vertical="center" wrapText="1"/>
    </xf>
    <xf numFmtId="0" fontId="14" fillId="0" borderId="5" xfId="0" quotePrefix="1" applyFont="1" applyBorder="1" applyAlignment="1">
      <alignment horizontal="left" vertical="center" wrapText="1"/>
    </xf>
    <xf numFmtId="168" fontId="38" fillId="0" borderId="28" xfId="2" applyNumberFormat="1" applyFont="1" applyBorder="1" applyAlignment="1">
      <alignment vertical="center"/>
    </xf>
    <xf numFmtId="0" fontId="39" fillId="0" borderId="15" xfId="0" applyFont="1" applyBorder="1" applyAlignment="1">
      <alignment horizontal="center" vertical="center"/>
    </xf>
    <xf numFmtId="168" fontId="39" fillId="0" borderId="19" xfId="2" applyNumberFormat="1" applyFont="1" applyBorder="1" applyAlignment="1">
      <alignment vertical="center"/>
    </xf>
    <xf numFmtId="168" fontId="38" fillId="0" borderId="5" xfId="2" applyNumberFormat="1" applyFont="1" applyBorder="1" applyAlignment="1">
      <alignment vertical="center"/>
    </xf>
    <xf numFmtId="168" fontId="38" fillId="0" borderId="3" xfId="2" applyNumberFormat="1" applyFont="1" applyBorder="1" applyAlignment="1">
      <alignment vertical="center"/>
    </xf>
    <xf numFmtId="0" fontId="37" fillId="0" borderId="25" xfId="0" applyFont="1" applyBorder="1" applyAlignment="1">
      <alignment horizontal="center" vertical="center"/>
    </xf>
    <xf numFmtId="0" fontId="37" fillId="0" borderId="26" xfId="0" applyFont="1" applyBorder="1" applyAlignment="1">
      <alignment horizontal="center" vertical="center"/>
    </xf>
    <xf numFmtId="0" fontId="37" fillId="0" borderId="30" xfId="0" applyFont="1" applyBorder="1" applyAlignment="1">
      <alignment horizontal="center" vertical="center"/>
    </xf>
    <xf numFmtId="9" fontId="37" fillId="0" borderId="5" xfId="0" applyNumberFormat="1" applyFont="1" applyBorder="1" applyAlignment="1">
      <alignment vertical="center"/>
    </xf>
    <xf numFmtId="0" fontId="39" fillId="0" borderId="32" xfId="0" applyFont="1" applyBorder="1" applyAlignment="1">
      <alignment horizontal="center" vertical="center"/>
    </xf>
    <xf numFmtId="0" fontId="37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168" fontId="39" fillId="0" borderId="15" xfId="2" applyNumberFormat="1" applyFont="1" applyBorder="1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37" fillId="0" borderId="35" xfId="0" applyFont="1" applyBorder="1" applyAlignment="1">
      <alignment vertical="center"/>
    </xf>
    <xf numFmtId="0" fontId="46" fillId="0" borderId="18" xfId="0" applyFont="1" applyBorder="1" applyAlignment="1">
      <alignment vertical="center" wrapText="1"/>
    </xf>
    <xf numFmtId="0" fontId="46" fillId="0" borderId="4" xfId="0" applyFont="1" applyBorder="1" applyAlignment="1">
      <alignment vertical="center" wrapText="1"/>
    </xf>
    <xf numFmtId="0" fontId="2" fillId="0" borderId="19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168" fontId="39" fillId="0" borderId="18" xfId="2" applyNumberFormat="1" applyFont="1" applyBorder="1" applyAlignment="1">
      <alignment vertical="center"/>
    </xf>
    <xf numFmtId="0" fontId="47" fillId="0" borderId="18" xfId="0" applyFont="1" applyBorder="1" applyAlignment="1">
      <alignment horizontal="left" vertical="center" wrapText="1"/>
    </xf>
    <xf numFmtId="0" fontId="47" fillId="0" borderId="4" xfId="0" applyFont="1" applyBorder="1" applyAlignment="1">
      <alignment horizontal="left" vertical="center" wrapText="1"/>
    </xf>
    <xf numFmtId="0" fontId="46" fillId="0" borderId="18" xfId="0" applyFont="1" applyBorder="1" applyAlignment="1">
      <alignment horizontal="left" vertical="center" wrapText="1"/>
    </xf>
    <xf numFmtId="0" fontId="46" fillId="0" borderId="4" xfId="0" applyFont="1" applyBorder="1" applyAlignment="1">
      <alignment horizontal="left" vertical="center" wrapText="1"/>
    </xf>
    <xf numFmtId="0" fontId="46" fillId="0" borderId="36" xfId="0" applyFont="1" applyBorder="1" applyAlignment="1">
      <alignment horizontal="left" vertical="center" wrapText="1"/>
    </xf>
    <xf numFmtId="0" fontId="46" fillId="0" borderId="37" xfId="0" applyFont="1" applyBorder="1" applyAlignment="1">
      <alignment horizontal="left" vertical="center" wrapText="1"/>
    </xf>
    <xf numFmtId="0" fontId="24" fillId="0" borderId="22" xfId="0" applyFont="1" applyBorder="1" applyAlignment="1">
      <alignment vertical="center"/>
    </xf>
    <xf numFmtId="0" fontId="24" fillId="0" borderId="0" xfId="0" applyFont="1" applyBorder="1" applyAlignment="1">
      <alignment vertical="center"/>
    </xf>
    <xf numFmtId="0" fontId="21" fillId="0" borderId="0" xfId="0" applyFont="1" applyBorder="1" applyAlignment="1">
      <alignment vertical="center" wrapText="1"/>
    </xf>
    <xf numFmtId="0" fontId="24" fillId="0" borderId="22" xfId="0" applyFont="1" applyBorder="1" applyAlignment="1">
      <alignment vertical="center" wrapText="1"/>
    </xf>
    <xf numFmtId="0" fontId="24" fillId="0" borderId="0" xfId="0" applyFont="1" applyBorder="1" applyAlignment="1">
      <alignment vertical="center" wrapText="1"/>
    </xf>
    <xf numFmtId="0" fontId="21" fillId="0" borderId="0" xfId="0" applyFont="1" applyBorder="1" applyAlignment="1">
      <alignment horizontal="left" vertical="center" wrapText="1"/>
    </xf>
    <xf numFmtId="0" fontId="46" fillId="0" borderId="18" xfId="0" applyFont="1" applyBorder="1" applyAlignment="1">
      <alignment vertical="center" wrapText="1"/>
    </xf>
    <xf numFmtId="0" fontId="46" fillId="0" borderId="4" xfId="0" applyFont="1" applyBorder="1" applyAlignment="1">
      <alignment vertical="center" wrapText="1"/>
    </xf>
    <xf numFmtId="0" fontId="20" fillId="0" borderId="9" xfId="0" applyFont="1" applyBorder="1" applyAlignment="1">
      <alignment horizontal="left" vertical="center"/>
    </xf>
    <xf numFmtId="0" fontId="20" fillId="0" borderId="1" xfId="0" applyFont="1" applyBorder="1" applyAlignment="1">
      <alignment horizontal="left" vertical="center"/>
    </xf>
    <xf numFmtId="0" fontId="20" fillId="0" borderId="1" xfId="0" quotePrefix="1" applyFont="1" applyBorder="1" applyAlignment="1">
      <alignment horizontal="left" vertical="center"/>
    </xf>
    <xf numFmtId="0" fontId="20" fillId="0" borderId="16" xfId="0" applyFont="1" applyBorder="1" applyAlignment="1">
      <alignment horizontal="left" vertical="center"/>
    </xf>
    <xf numFmtId="0" fontId="21" fillId="0" borderId="0" xfId="0" applyFont="1" applyBorder="1" applyAlignment="1">
      <alignment vertical="center"/>
    </xf>
    <xf numFmtId="0" fontId="33" fillId="0" borderId="0" xfId="0" applyFont="1" applyBorder="1" applyAlignment="1">
      <alignment horizontal="left" vertical="center" wrapText="1"/>
    </xf>
    <xf numFmtId="0" fontId="33" fillId="0" borderId="20" xfId="0" applyFont="1" applyBorder="1" applyAlignment="1">
      <alignment horizontal="left" vertical="center" wrapText="1"/>
    </xf>
    <xf numFmtId="164" fontId="45" fillId="0" borderId="22" xfId="0" applyNumberFormat="1" applyFont="1" applyBorder="1" applyAlignment="1">
      <alignment horizontal="center" vertical="center"/>
    </xf>
    <xf numFmtId="164" fontId="45" fillId="0" borderId="0" xfId="0" applyNumberFormat="1" applyFont="1" applyBorder="1" applyAlignment="1">
      <alignment horizontal="center" vertical="center"/>
    </xf>
    <xf numFmtId="164" fontId="45" fillId="0" borderId="9" xfId="0" applyNumberFormat="1" applyFont="1" applyBorder="1" applyAlignment="1">
      <alignment horizontal="center" vertical="center"/>
    </xf>
    <xf numFmtId="164" fontId="45" fillId="0" borderId="1" xfId="0" applyNumberFormat="1" applyFont="1" applyBorder="1" applyAlignment="1">
      <alignment horizontal="center" vertical="center"/>
    </xf>
    <xf numFmtId="0" fontId="17" fillId="0" borderId="8" xfId="0" applyFont="1" applyBorder="1" applyAlignment="1">
      <alignment horizontal="center"/>
    </xf>
    <xf numFmtId="0" fontId="17" fillId="0" borderId="2" xfId="0" applyFont="1" applyBorder="1" applyAlignment="1">
      <alignment horizontal="center"/>
    </xf>
    <xf numFmtId="0" fontId="39" fillId="0" borderId="29" xfId="0" applyFont="1" applyBorder="1" applyAlignment="1">
      <alignment vertical="center" wrapText="1"/>
    </xf>
    <xf numFmtId="0" fontId="39" fillId="0" borderId="17" xfId="0" applyFont="1" applyBorder="1" applyAlignment="1">
      <alignment vertical="center" wrapText="1"/>
    </xf>
    <xf numFmtId="0" fontId="47" fillId="0" borderId="18" xfId="0" applyFont="1" applyBorder="1" applyAlignment="1">
      <alignment vertical="center" wrapText="1"/>
    </xf>
    <xf numFmtId="0" fontId="47" fillId="0" borderId="4" xfId="0" applyFont="1" applyBorder="1" applyAlignment="1">
      <alignment vertical="center" wrapText="1"/>
    </xf>
    <xf numFmtId="0" fontId="37" fillId="0" borderId="31" xfId="0" applyFont="1" applyBorder="1" applyAlignment="1">
      <alignment horizontal="left" vertical="center"/>
    </xf>
    <xf numFmtId="0" fontId="37" fillId="0" borderId="6" xfId="0" applyFont="1" applyBorder="1" applyAlignment="1">
      <alignment horizontal="left" vertical="center"/>
    </xf>
    <xf numFmtId="0" fontId="37" fillId="0" borderId="7" xfId="0" applyFont="1" applyBorder="1" applyAlignment="1">
      <alignment horizontal="left" vertical="center"/>
    </xf>
    <xf numFmtId="0" fontId="21" fillId="0" borderId="22" xfId="0" applyFont="1" applyBorder="1" applyAlignment="1">
      <alignment horizontal="left"/>
    </xf>
    <xf numFmtId="0" fontId="21" fillId="0" borderId="0" xfId="0" applyFont="1" applyBorder="1" applyAlignment="1">
      <alignment horizontal="left"/>
    </xf>
    <xf numFmtId="0" fontId="21" fillId="0" borderId="20" xfId="0" applyFont="1" applyBorder="1" applyAlignment="1">
      <alignment horizontal="left"/>
    </xf>
    <xf numFmtId="0" fontId="20" fillId="0" borderId="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3" fillId="0" borderId="1" xfId="0" applyFont="1" applyBorder="1" applyAlignment="1">
      <alignment horizontal="left"/>
    </xf>
    <xf numFmtId="0" fontId="23" fillId="0" borderId="16" xfId="0" applyFont="1" applyBorder="1" applyAlignment="1">
      <alignment horizontal="left"/>
    </xf>
    <xf numFmtId="0" fontId="20" fillId="0" borderId="1" xfId="0" applyFont="1" applyBorder="1" applyAlignment="1">
      <alignment horizontal="right"/>
    </xf>
    <xf numFmtId="0" fontId="20" fillId="0" borderId="16" xfId="0" applyFont="1" applyBorder="1" applyAlignment="1">
      <alignment horizontal="right"/>
    </xf>
    <xf numFmtId="0" fontId="20" fillId="0" borderId="10" xfId="0" applyFont="1" applyBorder="1" applyAlignment="1">
      <alignment horizontal="center" vertical="top"/>
    </xf>
    <xf numFmtId="0" fontId="20" fillId="0" borderId="11" xfId="0" applyFont="1" applyBorder="1" applyAlignment="1">
      <alignment horizontal="center" vertical="top"/>
    </xf>
    <xf numFmtId="0" fontId="20" fillId="0" borderId="12" xfId="0" applyFont="1" applyBorder="1" applyAlignment="1">
      <alignment horizontal="center" vertical="top"/>
    </xf>
    <xf numFmtId="0" fontId="20" fillId="0" borderId="13" xfId="0" applyFont="1" applyBorder="1" applyAlignment="1">
      <alignment horizontal="center" vertical="top"/>
    </xf>
    <xf numFmtId="0" fontId="21" fillId="0" borderId="14" xfId="0" applyFont="1" applyBorder="1" applyAlignment="1">
      <alignment horizontal="right"/>
    </xf>
    <xf numFmtId="0" fontId="21" fillId="0" borderId="11" xfId="0" applyFont="1" applyBorder="1" applyAlignment="1">
      <alignment horizontal="right"/>
    </xf>
    <xf numFmtId="0" fontId="36" fillId="0" borderId="14" xfId="1" applyFont="1" applyBorder="1" applyAlignment="1">
      <alignment horizontal="right"/>
    </xf>
    <xf numFmtId="0" fontId="36" fillId="0" borderId="11" xfId="1" applyFont="1" applyBorder="1" applyAlignment="1">
      <alignment horizontal="right"/>
    </xf>
    <xf numFmtId="14" fontId="19" fillId="0" borderId="0" xfId="2" applyNumberFormat="1" applyFont="1" applyBorder="1" applyAlignment="1">
      <alignment horizontal="left"/>
    </xf>
    <xf numFmtId="0" fontId="35" fillId="0" borderId="8" xfId="0" applyFont="1" applyBorder="1" applyAlignment="1">
      <alignment horizontal="center" vertical="center"/>
    </xf>
    <xf numFmtId="0" fontId="35" fillId="0" borderId="2" xfId="0" applyFont="1" applyBorder="1" applyAlignment="1">
      <alignment horizontal="center" vertical="center"/>
    </xf>
    <xf numFmtId="0" fontId="35" fillId="0" borderId="22" xfId="0" applyFont="1" applyBorder="1" applyAlignment="1">
      <alignment horizontal="center" vertical="center"/>
    </xf>
    <xf numFmtId="0" fontId="35" fillId="0" borderId="0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/>
    </xf>
    <xf numFmtId="168" fontId="20" fillId="0" borderId="3" xfId="2" applyNumberFormat="1" applyFont="1" applyBorder="1" applyAlignment="1">
      <alignment horizontal="center" vertical="center" wrapText="1"/>
    </xf>
    <xf numFmtId="168" fontId="20" fillId="0" borderId="5" xfId="2" applyNumberFormat="1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 wrapText="1"/>
    </xf>
    <xf numFmtId="0" fontId="20" fillId="0" borderId="26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1" fillId="0" borderId="22" xfId="0" applyFont="1" applyBorder="1" applyAlignment="1">
      <alignment horizontal="left" vertical="center" wrapText="1"/>
    </xf>
    <xf numFmtId="0" fontId="21" fillId="0" borderId="20" xfId="0" applyFont="1" applyBorder="1" applyAlignment="1">
      <alignment horizontal="left" vertical="center" wrapText="1"/>
    </xf>
    <xf numFmtId="168" fontId="20" fillId="0" borderId="3" xfId="2" applyNumberFormat="1" applyFont="1" applyBorder="1" applyAlignment="1">
      <alignment horizontal="center" wrapText="1"/>
    </xf>
    <xf numFmtId="168" fontId="20" fillId="0" borderId="5" xfId="2" applyNumberFormat="1" applyFont="1" applyBorder="1" applyAlignment="1">
      <alignment horizontal="center"/>
    </xf>
    <xf numFmtId="0" fontId="37" fillId="0" borderId="24" xfId="0" applyFont="1" applyBorder="1" applyAlignment="1">
      <alignment horizontal="left" vertical="center"/>
    </xf>
    <xf numFmtId="0" fontId="37" fillId="0" borderId="3" xfId="0" applyFont="1" applyBorder="1" applyAlignment="1">
      <alignment horizontal="left" vertical="center"/>
    </xf>
    <xf numFmtId="0" fontId="37" fillId="0" borderId="27" xfId="0" applyFont="1" applyBorder="1" applyAlignment="1">
      <alignment horizontal="left" vertical="center"/>
    </xf>
    <xf numFmtId="0" fontId="37" fillId="0" borderId="28" xfId="0" applyFont="1" applyBorder="1" applyAlignment="1">
      <alignment horizontal="left" vertical="center"/>
    </xf>
    <xf numFmtId="0" fontId="42" fillId="0" borderId="5" xfId="0" applyFont="1" applyBorder="1" applyAlignment="1">
      <alignment horizontal="left" vertical="center" wrapText="1"/>
    </xf>
    <xf numFmtId="0" fontId="40" fillId="0" borderId="5" xfId="0" applyFont="1" applyBorder="1" applyAlignment="1">
      <alignment horizontal="center" vertical="center" textRotation="90"/>
    </xf>
    <xf numFmtId="164" fontId="0" fillId="0" borderId="0" xfId="0" applyNumberFormat="1" applyAlignment="1">
      <alignment horizontal="center"/>
    </xf>
    <xf numFmtId="0" fontId="42" fillId="0" borderId="5" xfId="0" applyFont="1" applyBorder="1" applyAlignment="1">
      <alignment horizontal="left"/>
    </xf>
  </cellXfs>
  <cellStyles count="3">
    <cellStyle name="Comma" xfId="2" builtinId="3"/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1027200</xdr:colOff>
      <xdr:row>2</xdr:row>
      <xdr:rowOff>199759</xdr:rowOff>
    </xdr:from>
    <xdr:to>
      <xdr:col>7</xdr:col>
      <xdr:colOff>1187549</xdr:colOff>
      <xdr:row>5</xdr:row>
      <xdr:rowOff>209549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0006" b="28159"/>
        <a:stretch/>
      </xdr:blipFill>
      <xdr:spPr bwMode="auto">
        <a:xfrm>
          <a:off x="7027950" y="580759"/>
          <a:ext cx="1474799" cy="7241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492551</xdr:colOff>
      <xdr:row>11</xdr:row>
      <xdr:rowOff>34199</xdr:rowOff>
    </xdr:from>
    <xdr:to>
      <xdr:col>6</xdr:col>
      <xdr:colOff>1284624</xdr:colOff>
      <xdr:row>16</xdr:row>
      <xdr:rowOff>49402</xdr:rowOff>
    </xdr:to>
    <xdr:pic>
      <xdr:nvPicPr>
        <xdr:cNvPr id="6" name="Picture 5" descr="C:\Users\Ki Thuat 88\Desktop\Untitled-1.png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-10000" contrast="1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1438300">
          <a:off x="6601251" y="2650399"/>
          <a:ext cx="2239873" cy="15138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ales@rtc.edu.v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sales01@rtc.edu.vn" TargetMode="External"/><Relationship Id="rId2" Type="http://schemas.openxmlformats.org/officeDocument/2006/relationships/hyperlink" Target="mailto:nguyen.thom@rtc.edu.vn" TargetMode="External"/><Relationship Id="rId1" Type="http://schemas.openxmlformats.org/officeDocument/2006/relationships/hyperlink" Target="mailto:sales@rtc.edu.vn" TargetMode="External"/><Relationship Id="rId4" Type="http://schemas.openxmlformats.org/officeDocument/2006/relationships/hyperlink" Target="mailto:dothi.hoa@gmail.com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mailto:nguyen.ans@ansvietnam.com" TargetMode="External"/><Relationship Id="rId21" Type="http://schemas.openxmlformats.org/officeDocument/2006/relationships/hyperlink" Target="mailto:nhungoc0492@gmail.com" TargetMode="External"/><Relationship Id="rId42" Type="http://schemas.openxmlformats.org/officeDocument/2006/relationships/hyperlink" Target="mailto:tuananh.tran@meiko.vn" TargetMode="External"/><Relationship Id="rId47" Type="http://schemas.openxmlformats.org/officeDocument/2006/relationships/hyperlink" Target="mailto:hiep.nhatviet@gmail.com" TargetMode="External"/><Relationship Id="rId63" Type="http://schemas.openxmlformats.org/officeDocument/2006/relationships/hyperlink" Target="mailto:truong.nguyenduc@vn.panasonic.com" TargetMode="External"/><Relationship Id="rId68" Type="http://schemas.openxmlformats.org/officeDocument/2006/relationships/hyperlink" Target="mailto:dinhnhu.vu@samsung.com" TargetMode="External"/><Relationship Id="rId84" Type="http://schemas.openxmlformats.org/officeDocument/2006/relationships/hyperlink" Target="mailto:tunglamtek@gmail.com" TargetMode="External"/><Relationship Id="rId89" Type="http://schemas.openxmlformats.org/officeDocument/2006/relationships/hyperlink" Target="mailto:tam.luu@yuasa.com.vn" TargetMode="External"/><Relationship Id="rId112" Type="http://schemas.openxmlformats.org/officeDocument/2006/relationships/hyperlink" Target="mailto:duytv@auto-tech.vn" TargetMode="External"/><Relationship Id="rId16" Type="http://schemas.openxmlformats.org/officeDocument/2006/relationships/hyperlink" Target="mailto:manhdx@m-tech.com.vn" TargetMode="External"/><Relationship Id="rId107" Type="http://schemas.openxmlformats.org/officeDocument/2006/relationships/hyperlink" Target="mailto:tuyenlethanh@gmail.com" TargetMode="External"/><Relationship Id="rId11" Type="http://schemas.openxmlformats.org/officeDocument/2006/relationships/hyperlink" Target="mailto:muahang02@thegioicongnghiep.com" TargetMode="External"/><Relationship Id="rId32" Type="http://schemas.openxmlformats.org/officeDocument/2006/relationships/hyperlink" Target="mailto:thuydung@myung.co.kr" TargetMode="External"/><Relationship Id="rId37" Type="http://schemas.openxmlformats.org/officeDocument/2006/relationships/hyperlink" Target="mailto:ckyaw@combat.com.my" TargetMode="External"/><Relationship Id="rId53" Type="http://schemas.openxmlformats.org/officeDocument/2006/relationships/hyperlink" Target="mailto:sales1@vicotech.vn" TargetMode="External"/><Relationship Id="rId58" Type="http://schemas.openxmlformats.org/officeDocument/2006/relationships/hyperlink" Target="mailto:dt_ha@pitc.com.vn" TargetMode="External"/><Relationship Id="rId74" Type="http://schemas.openxmlformats.org/officeDocument/2006/relationships/hyperlink" Target="mailto:pur03@nittan-vn.com" TargetMode="External"/><Relationship Id="rId79" Type="http://schemas.openxmlformats.org/officeDocument/2006/relationships/hyperlink" Target="mailto:thangtuliem@gmail.com" TargetMode="External"/><Relationship Id="rId102" Type="http://schemas.openxmlformats.org/officeDocument/2006/relationships/hyperlink" Target="mailto:thamxuka.tth@gmail.com" TargetMode="External"/><Relationship Id="rId5" Type="http://schemas.openxmlformats.org/officeDocument/2006/relationships/hyperlink" Target="mailto:servicetktech@thaikhuongpump.com" TargetMode="External"/><Relationship Id="rId90" Type="http://schemas.openxmlformats.org/officeDocument/2006/relationships/hyperlink" Target="mailto:kiempv.aseco@gmail.com" TargetMode="External"/><Relationship Id="rId95" Type="http://schemas.openxmlformats.org/officeDocument/2006/relationships/hyperlink" Target="mailto:hoangcancivn@gmail.com" TargetMode="External"/><Relationship Id="rId22" Type="http://schemas.openxmlformats.org/officeDocument/2006/relationships/hyperlink" Target="mailto:langdon.vu@serveone.vn" TargetMode="External"/><Relationship Id="rId27" Type="http://schemas.openxmlformats.org/officeDocument/2006/relationships/hyperlink" Target="mailto:thuvv@hust.com.vn" TargetMode="External"/><Relationship Id="rId43" Type="http://schemas.openxmlformats.org/officeDocument/2006/relationships/hyperlink" Target="mailto:huyen.phanthithu@meiko.vn" TargetMode="External"/><Relationship Id="rId48" Type="http://schemas.openxmlformats.org/officeDocument/2006/relationships/hyperlink" Target="mailto:anh.letuan@nitto.com" TargetMode="External"/><Relationship Id="rId64" Type="http://schemas.openxmlformats.org/officeDocument/2006/relationships/hyperlink" Target="mailto:huongiang.nguyen@vn.panasonic.com" TargetMode="External"/><Relationship Id="rId69" Type="http://schemas.openxmlformats.org/officeDocument/2006/relationships/hyperlink" Target="mailto:duclanh.ng@samsung.com" TargetMode="External"/><Relationship Id="rId113" Type="http://schemas.openxmlformats.org/officeDocument/2006/relationships/hyperlink" Target="mailto:viettap@gmail.com" TargetMode="External"/><Relationship Id="rId80" Type="http://schemas.openxmlformats.org/officeDocument/2006/relationships/hyperlink" Target="mailto:nguyen.ducrpv@gmail.com" TargetMode="External"/><Relationship Id="rId85" Type="http://schemas.openxmlformats.org/officeDocument/2006/relationships/hyperlink" Target="mailto:sales10@sunrisetrading.com.vn" TargetMode="External"/><Relationship Id="rId12" Type="http://schemas.openxmlformats.org/officeDocument/2006/relationships/hyperlink" Target="mailto:admin@mkint.com.vn" TargetMode="External"/><Relationship Id="rId17" Type="http://schemas.openxmlformats.org/officeDocument/2006/relationships/hyperlink" Target="mailto:uvc@ueno.com.vn" TargetMode="External"/><Relationship Id="rId33" Type="http://schemas.openxmlformats.org/officeDocument/2006/relationships/hyperlink" Target="mailto:viet_nnq@Ajinomoto.com.vn" TargetMode="External"/><Relationship Id="rId38" Type="http://schemas.openxmlformats.org/officeDocument/2006/relationships/hyperlink" Target="mailto:lanvu.baoan@gmail.com" TargetMode="External"/><Relationship Id="rId59" Type="http://schemas.openxmlformats.org/officeDocument/2006/relationships/hyperlink" Target="mailto:quanghung@kakume.vn" TargetMode="External"/><Relationship Id="rId103" Type="http://schemas.openxmlformats.org/officeDocument/2006/relationships/hyperlink" Target="mailto:kien@daekhon.co.kr" TargetMode="External"/><Relationship Id="rId108" Type="http://schemas.openxmlformats.org/officeDocument/2006/relationships/hyperlink" Target="mailto:yuji.komohara@mmcv.mektec.com" TargetMode="External"/><Relationship Id="rId54" Type="http://schemas.openxmlformats.org/officeDocument/2006/relationships/hyperlink" Target="mailto:thao.phamdinh@nitto.com" TargetMode="External"/><Relationship Id="rId70" Type="http://schemas.openxmlformats.org/officeDocument/2006/relationships/hyperlink" Target="mailto:ng.vinh@samsung.com" TargetMode="External"/><Relationship Id="rId75" Type="http://schemas.openxmlformats.org/officeDocument/2006/relationships/hyperlink" Target="mailto:S-pur@sora.vn" TargetMode="External"/><Relationship Id="rId91" Type="http://schemas.openxmlformats.org/officeDocument/2006/relationships/hyperlink" Target="mailto:purchase-3@est.com.vn" TargetMode="External"/><Relationship Id="rId96" Type="http://schemas.openxmlformats.org/officeDocument/2006/relationships/hyperlink" Target="mailto:congnamdt1k1@gmail.com" TargetMode="External"/><Relationship Id="rId1" Type="http://schemas.openxmlformats.org/officeDocument/2006/relationships/hyperlink" Target="mailto:khanhantech@vnn.vn" TargetMode="External"/><Relationship Id="rId6" Type="http://schemas.openxmlformats.org/officeDocument/2006/relationships/hyperlink" Target="mailto:thiha.nguyen@aname.co.kr" TargetMode="External"/><Relationship Id="rId15" Type="http://schemas.openxmlformats.org/officeDocument/2006/relationships/hyperlink" Target="mailto:sales27@ksmc.com.vn" TargetMode="External"/><Relationship Id="rId23" Type="http://schemas.openxmlformats.org/officeDocument/2006/relationships/hyperlink" Target="mailto:myungtech@myungtech.vn" TargetMode="External"/><Relationship Id="rId28" Type="http://schemas.openxmlformats.org/officeDocument/2006/relationships/hyperlink" Target="mailto:quan.vinasora@gmail.com" TargetMode="External"/><Relationship Id="rId36" Type="http://schemas.openxmlformats.org/officeDocument/2006/relationships/hyperlink" Target="mailto:cuongdm@minhcuongsteel.com" TargetMode="External"/><Relationship Id="rId49" Type="http://schemas.openxmlformats.org/officeDocument/2006/relationships/hyperlink" Target="mailto:mung.lethi@nitto.com" TargetMode="External"/><Relationship Id="rId57" Type="http://schemas.openxmlformats.org/officeDocument/2006/relationships/hyperlink" Target="mailto:pur_1@pitc.com.vn" TargetMode="External"/><Relationship Id="rId106" Type="http://schemas.openxmlformats.org/officeDocument/2006/relationships/hyperlink" Target="mailto:trinhnguyen@yfo.vn" TargetMode="External"/><Relationship Id="rId10" Type="http://schemas.openxmlformats.org/officeDocument/2006/relationships/hyperlink" Target="mailto:sale2@hstcorp.vn" TargetMode="External"/><Relationship Id="rId31" Type="http://schemas.openxmlformats.org/officeDocument/2006/relationships/hyperlink" Target="mailto:hieuha@mksmart.com.vn" TargetMode="External"/><Relationship Id="rId44" Type="http://schemas.openxmlformats.org/officeDocument/2006/relationships/hyperlink" Target="mailto:phuong.luuthi@meiko.vn" TargetMode="External"/><Relationship Id="rId52" Type="http://schemas.openxmlformats.org/officeDocument/2006/relationships/hyperlink" Target="mailto:TraTran@kefico.vn" TargetMode="External"/><Relationship Id="rId60" Type="http://schemas.openxmlformats.org/officeDocument/2006/relationships/hyperlink" Target="mailto:gm@vicotech.vn" TargetMode="External"/><Relationship Id="rId65" Type="http://schemas.openxmlformats.org/officeDocument/2006/relationships/hyperlink" Target="mailto:chungpham.htsvietnam@gmail.com" TargetMode="External"/><Relationship Id="rId73" Type="http://schemas.openxmlformats.org/officeDocument/2006/relationships/hyperlink" Target="mailto:pur01@nittan-vn.com" TargetMode="External"/><Relationship Id="rId78" Type="http://schemas.openxmlformats.org/officeDocument/2006/relationships/hyperlink" Target="mailto:vanthang_khong@spindex.com.vn" TargetMode="External"/><Relationship Id="rId81" Type="http://schemas.openxmlformats.org/officeDocument/2006/relationships/hyperlink" Target="mailto:dungnv@pmttau.com.vn" TargetMode="External"/><Relationship Id="rId86" Type="http://schemas.openxmlformats.org/officeDocument/2006/relationships/hyperlink" Target="mailto:sales68@toanthinhphatco.com.vn" TargetMode="External"/><Relationship Id="rId94" Type="http://schemas.openxmlformats.org/officeDocument/2006/relationships/hyperlink" Target="mailto:pur01@temas.vn" TargetMode="External"/><Relationship Id="rId99" Type="http://schemas.openxmlformats.org/officeDocument/2006/relationships/hyperlink" Target="mailto:retechvietnam@gmail.com" TargetMode="External"/><Relationship Id="rId101" Type="http://schemas.openxmlformats.org/officeDocument/2006/relationships/hyperlink" Target="mailto:cpe_vn_fixture@mail.foxconn.com" TargetMode="External"/><Relationship Id="rId4" Type="http://schemas.openxmlformats.org/officeDocument/2006/relationships/hyperlink" Target="mailto:duong.van.an.ke@kvc.kyocera.com.vn" TargetMode="External"/><Relationship Id="rId9" Type="http://schemas.openxmlformats.org/officeDocument/2006/relationships/hyperlink" Target="mailto:nx.kieu@s-mac.co.kr" TargetMode="External"/><Relationship Id="rId13" Type="http://schemas.openxmlformats.org/officeDocument/2006/relationships/hyperlink" Target="mailto:thaothao2892@gmail.com" TargetMode="External"/><Relationship Id="rId18" Type="http://schemas.openxmlformats.org/officeDocument/2006/relationships/hyperlink" Target="mailto:purchase2@ktechvn.com.vn" TargetMode="External"/><Relationship Id="rId39" Type="http://schemas.openxmlformats.org/officeDocument/2006/relationships/hyperlink" Target="mailto:lethang.baoan@gmail.com" TargetMode="External"/><Relationship Id="rId109" Type="http://schemas.openxmlformats.org/officeDocument/2006/relationships/hyperlink" Target="mailto:giang.nguyenvan@mmcv.mektec.com" TargetMode="External"/><Relationship Id="rId34" Type="http://schemas.openxmlformats.org/officeDocument/2006/relationships/hyperlink" Target="mailto:hoan@semeco.com.vn" TargetMode="External"/><Relationship Id="rId50" Type="http://schemas.openxmlformats.org/officeDocument/2006/relationships/hyperlink" Target="mailto:qctankm@fcc-vn.com.vn" TargetMode="External"/><Relationship Id="rId55" Type="http://schemas.openxmlformats.org/officeDocument/2006/relationships/hyperlink" Target="mailto:s-sales@sora.vn" TargetMode="External"/><Relationship Id="rId76" Type="http://schemas.openxmlformats.org/officeDocument/2006/relationships/hyperlink" Target="mailto:dadt@sora.vn" TargetMode="External"/><Relationship Id="rId97" Type="http://schemas.openxmlformats.org/officeDocument/2006/relationships/hyperlink" Target="mailto:sonhborion@gmail.com" TargetMode="External"/><Relationship Id="rId104" Type="http://schemas.openxmlformats.org/officeDocument/2006/relationships/hyperlink" Target="mailto:nam.dongoc@vn.panasonic.com" TargetMode="External"/><Relationship Id="rId7" Type="http://schemas.openxmlformats.org/officeDocument/2006/relationships/hyperlink" Target="mailto:tranductung@hanelpt.com.vn" TargetMode="External"/><Relationship Id="rId71" Type="http://schemas.openxmlformats.org/officeDocument/2006/relationships/hyperlink" Target="mailto:tuyetpt@imarketkorea.com" TargetMode="External"/><Relationship Id="rId92" Type="http://schemas.openxmlformats.org/officeDocument/2006/relationships/hyperlink" Target="mailto:nlan8202@gmail.com" TargetMode="External"/><Relationship Id="rId2" Type="http://schemas.openxmlformats.org/officeDocument/2006/relationships/hyperlink" Target="mailto:thanh9612691@vnn.vn" TargetMode="External"/><Relationship Id="rId29" Type="http://schemas.openxmlformats.org/officeDocument/2006/relationships/hyperlink" Target="mailto:thuthuong@yfo.vn" TargetMode="External"/><Relationship Id="rId24" Type="http://schemas.openxmlformats.org/officeDocument/2006/relationships/hyperlink" Target="mailto:pur.apn@gmail.com" TargetMode="External"/><Relationship Id="rId40" Type="http://schemas.openxmlformats.org/officeDocument/2006/relationships/hyperlink" Target="mailto:info.pmi2010@gmail.com" TargetMode="External"/><Relationship Id="rId45" Type="http://schemas.openxmlformats.org/officeDocument/2006/relationships/hyperlink" Target="mailto:tien.nguyenminh@meiko-elec.com" TargetMode="External"/><Relationship Id="rId66" Type="http://schemas.openxmlformats.org/officeDocument/2006/relationships/hyperlink" Target="mailto:nguyenthinhung@61cns.co.kr" TargetMode="External"/><Relationship Id="rId87" Type="http://schemas.openxmlformats.org/officeDocument/2006/relationships/hyperlink" Target="mailto:ha.vu@yuasa.com.vn" TargetMode="External"/><Relationship Id="rId110" Type="http://schemas.openxmlformats.org/officeDocument/2006/relationships/hyperlink" Target="mailto:Uyen.nguyenkim@vn.abb.com" TargetMode="External"/><Relationship Id="rId61" Type="http://schemas.openxmlformats.org/officeDocument/2006/relationships/hyperlink" Target="mailto:nguyen.minh.phong.hs@kvc.kyocera.com.vn" TargetMode="External"/><Relationship Id="rId82" Type="http://schemas.openxmlformats.org/officeDocument/2006/relationships/hyperlink" Target="mailto:tung.nh.vn@goshukohsan.com" TargetMode="External"/><Relationship Id="rId19" Type="http://schemas.openxmlformats.org/officeDocument/2006/relationships/hyperlink" Target="mailto:pur.3qvietnam@gmail.com" TargetMode="External"/><Relationship Id="rId14" Type="http://schemas.openxmlformats.org/officeDocument/2006/relationships/hyperlink" Target="mailto:nguyenhoi@61cns.co.kr" TargetMode="External"/><Relationship Id="rId30" Type="http://schemas.openxmlformats.org/officeDocument/2006/relationships/hyperlink" Target="mailto:thuanh.nt@elkvina.com" TargetMode="External"/><Relationship Id="rId35" Type="http://schemas.openxmlformats.org/officeDocument/2006/relationships/hyperlink" Target="mailto:nhuquynh.nguyen@daikin.com.vn" TargetMode="External"/><Relationship Id="rId56" Type="http://schemas.openxmlformats.org/officeDocument/2006/relationships/hyperlink" Target="mailto:truongna@sora.vn" TargetMode="External"/><Relationship Id="rId77" Type="http://schemas.openxmlformats.org/officeDocument/2006/relationships/hyperlink" Target="mailto:vananh_nguyen@spindex.com.vn" TargetMode="External"/><Relationship Id="rId100" Type="http://schemas.openxmlformats.org/officeDocument/2006/relationships/hyperlink" Target="mailto:hanglt1@bsi.vn" TargetMode="External"/><Relationship Id="rId105" Type="http://schemas.openxmlformats.org/officeDocument/2006/relationships/hyperlink" Target="mailto:quan.haminh@meiko-elec.com" TargetMode="External"/><Relationship Id="rId8" Type="http://schemas.openxmlformats.org/officeDocument/2006/relationships/hyperlink" Target="mailto:tranthihaiyen@coasia.com" TargetMode="External"/><Relationship Id="rId51" Type="http://schemas.openxmlformats.org/officeDocument/2006/relationships/hyperlink" Target="mailto:qchoaint@fcc-vn.com.vn" TargetMode="External"/><Relationship Id="rId72" Type="http://schemas.openxmlformats.org/officeDocument/2006/relationships/hyperlink" Target="mailto:thucnga.nguyen@imarketkorea.com" TargetMode="External"/><Relationship Id="rId93" Type="http://schemas.openxmlformats.org/officeDocument/2006/relationships/hyperlink" Target="mailto:maithison91@gmail.com" TargetMode="External"/><Relationship Id="rId98" Type="http://schemas.openxmlformats.org/officeDocument/2006/relationships/hyperlink" Target="mailto:nguyenthihoa93@coasia.com" TargetMode="External"/><Relationship Id="rId3" Type="http://schemas.openxmlformats.org/officeDocument/2006/relationships/hyperlink" Target="mailto:sale02@fintv.com.vn" TargetMode="External"/><Relationship Id="rId25" Type="http://schemas.openxmlformats.org/officeDocument/2006/relationships/hyperlink" Target="mailto:tuan.sales06@gmail.com" TargetMode="External"/><Relationship Id="rId46" Type="http://schemas.openxmlformats.org/officeDocument/2006/relationships/hyperlink" Target="mailto:thuannguyenvan@meiko-elec.com" TargetMode="External"/><Relationship Id="rId67" Type="http://schemas.openxmlformats.org/officeDocument/2006/relationships/hyperlink" Target="mailto:service1@maruka.vn" TargetMode="External"/><Relationship Id="rId20" Type="http://schemas.openxmlformats.org/officeDocument/2006/relationships/hyperlink" Target="mailto:khanh.pham@hsnw.co.kr" TargetMode="External"/><Relationship Id="rId41" Type="http://schemas.openxmlformats.org/officeDocument/2006/relationships/hyperlink" Target="mailto:Sales01pivn@gmail.com" TargetMode="External"/><Relationship Id="rId62" Type="http://schemas.openxmlformats.org/officeDocument/2006/relationships/hyperlink" Target="mailto:phucnh@adi-jsc.com" TargetMode="External"/><Relationship Id="rId83" Type="http://schemas.openxmlformats.org/officeDocument/2006/relationships/hyperlink" Target="mailto:tuan-nguyenthien@denka.com.vn" TargetMode="External"/><Relationship Id="rId88" Type="http://schemas.openxmlformats.org/officeDocument/2006/relationships/hyperlink" Target="mailto:2395rm@yuasa.com.vn" TargetMode="External"/><Relationship Id="rId111" Type="http://schemas.openxmlformats.org/officeDocument/2006/relationships/hyperlink" Target="mailto:ngocna@auto-tech.vn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54"/>
  <sheetViews>
    <sheetView showGridLines="0" tabSelected="1" topLeftCell="A31" zoomScaleNormal="100" zoomScaleSheetLayoutView="89" workbookViewId="0">
      <selection activeCell="C44" sqref="C44"/>
    </sheetView>
  </sheetViews>
  <sheetFormatPr defaultColWidth="8.875" defaultRowHeight="12.75" x14ac:dyDescent="0.2"/>
  <cols>
    <col min="1" max="1" width="6" style="21" customWidth="1"/>
    <col min="2" max="2" width="14.125" style="21" customWidth="1"/>
    <col min="3" max="3" width="35.125" style="21" customWidth="1"/>
    <col min="4" max="4" width="14.5" style="71" customWidth="1"/>
    <col min="5" max="5" width="10.375" style="71" customWidth="1"/>
    <col min="6" max="6" width="19" style="69" customWidth="1"/>
    <col min="7" max="7" width="19.625" style="69" customWidth="1"/>
    <col min="8" max="8" width="18.375" style="21" customWidth="1"/>
    <col min="9" max="9" width="15.125" style="21" customWidth="1"/>
    <col min="10" max="10" width="12" style="21" bestFit="1" customWidth="1"/>
    <col min="11" max="16384" width="8.875" style="21"/>
  </cols>
  <sheetData>
    <row r="1" spans="1:10" ht="16.5" customHeight="1" x14ac:dyDescent="0.2">
      <c r="A1" s="207" t="s">
        <v>738</v>
      </c>
      <c r="B1" s="208"/>
      <c r="C1" s="208"/>
      <c r="D1" s="98"/>
      <c r="E1" s="99"/>
      <c r="F1" s="100"/>
      <c r="G1" s="100"/>
      <c r="H1" s="101"/>
    </row>
    <row r="2" spans="1:10" ht="13.5" customHeight="1" thickBot="1" x14ac:dyDescent="0.25">
      <c r="A2" s="209"/>
      <c r="B2" s="210"/>
      <c r="C2" s="210"/>
      <c r="D2" s="75"/>
      <c r="E2" s="72" t="s">
        <v>250</v>
      </c>
      <c r="F2" s="194" t="str">
        <f ca="1">VLOOKUP(QUO!G11,Sale!B3:E16,4,0)&amp;"_"&amp;DAY(NOW())&amp;MONTH(NOW())&amp;YEAR(NOW())&amp;"_"&amp;J12</f>
        <v>RTC05_2242019_122</v>
      </c>
      <c r="G2" s="194"/>
      <c r="H2" s="195"/>
    </row>
    <row r="3" spans="1:10" ht="16.5" customHeight="1" x14ac:dyDescent="0.2">
      <c r="A3" s="209"/>
      <c r="B3" s="210"/>
      <c r="C3" s="210"/>
      <c r="D3" s="75"/>
      <c r="E3" s="90" t="s">
        <v>272</v>
      </c>
      <c r="F3" s="206">
        <f ca="1">TODAY()</f>
        <v>43577</v>
      </c>
      <c r="G3" s="206"/>
      <c r="H3" s="102"/>
    </row>
    <row r="4" spans="1:10" s="23" customFormat="1" ht="12" x14ac:dyDescent="0.2">
      <c r="A4" s="209"/>
      <c r="B4" s="210"/>
      <c r="C4" s="210"/>
      <c r="D4" s="26"/>
      <c r="E4" s="26"/>
      <c r="F4" s="68"/>
      <c r="G4" s="68"/>
      <c r="H4" s="88"/>
    </row>
    <row r="5" spans="1:10" s="77" customFormat="1" ht="27.75" customHeight="1" x14ac:dyDescent="0.2">
      <c r="A5" s="161" t="s">
        <v>1</v>
      </c>
      <c r="B5" s="162"/>
      <c r="C5" s="163" t="str">
        <f>VLOOKUP(I12,Custom!B2:G573,3,0)</f>
        <v>VICCO TECHNOLOGY JOINT STOCK COMPANY</v>
      </c>
      <c r="D5" s="163"/>
      <c r="E5" s="95" t="s">
        <v>732</v>
      </c>
      <c r="F5" s="82"/>
      <c r="G5" s="83"/>
      <c r="H5" s="103"/>
    </row>
    <row r="6" spans="1:10" s="77" customFormat="1" ht="21" customHeight="1" x14ac:dyDescent="0.2">
      <c r="A6" s="161" t="s">
        <v>792</v>
      </c>
      <c r="B6" s="162"/>
      <c r="C6" s="163" t="str">
        <f>VLOOKUP(I12,Custom!B2:G260,4,0)</f>
        <v>No.27, 332/7/24 Alley, 332  Lane, Hoang Cong Chat St, Phu Dien Ward, Bac Tu Liem Dist, Ha Noi.</v>
      </c>
      <c r="D6" s="163"/>
      <c r="E6" s="91" t="s">
        <v>733</v>
      </c>
      <c r="F6" s="82"/>
      <c r="G6" s="83"/>
      <c r="H6" s="103"/>
    </row>
    <row r="7" spans="1:10" s="77" customFormat="1" ht="15.6" customHeight="1" x14ac:dyDescent="0.2">
      <c r="A7" s="161" t="s">
        <v>793</v>
      </c>
      <c r="B7" s="162"/>
      <c r="C7" s="163" t="str">
        <f>VLOOKUP(I12,Custom!B2:G262,2,0)</f>
        <v>Mr.Tùng</v>
      </c>
      <c r="D7" s="163"/>
      <c r="E7" s="95" t="s">
        <v>734</v>
      </c>
      <c r="F7" s="82"/>
      <c r="G7" s="83"/>
      <c r="H7" s="103"/>
    </row>
    <row r="8" spans="1:10" s="70" customFormat="1" ht="28.35" customHeight="1" x14ac:dyDescent="0.2">
      <c r="A8" s="164" t="s">
        <v>2</v>
      </c>
      <c r="B8" s="165"/>
      <c r="C8" s="166" t="str">
        <f>VLOOKUP(I12,Custom!B2:G261,5,0)</f>
        <v>0965 170 196</v>
      </c>
      <c r="D8" s="166"/>
      <c r="E8" s="174" t="s">
        <v>735</v>
      </c>
      <c r="F8" s="174"/>
      <c r="G8" s="174"/>
      <c r="H8" s="175"/>
    </row>
    <row r="9" spans="1:10" s="77" customFormat="1" ht="15.6" customHeight="1" x14ac:dyDescent="0.2">
      <c r="A9" s="161" t="s">
        <v>794</v>
      </c>
      <c r="B9" s="162"/>
      <c r="C9" s="173" t="str">
        <f>VLOOKUP(I12,Custom!B2:G261,6,0)</f>
        <v>gm@vicotech.vn</v>
      </c>
      <c r="D9" s="173"/>
      <c r="E9" s="95" t="s">
        <v>736</v>
      </c>
      <c r="F9" s="82"/>
      <c r="G9" s="83"/>
      <c r="H9" s="103"/>
    </row>
    <row r="10" spans="1:10" s="78" customFormat="1" ht="23.45" customHeight="1" x14ac:dyDescent="0.2">
      <c r="A10" s="104"/>
      <c r="B10" s="84"/>
      <c r="C10" s="85"/>
      <c r="D10" s="85"/>
      <c r="E10" s="84" t="s">
        <v>737</v>
      </c>
      <c r="F10" s="86"/>
      <c r="G10" s="87"/>
      <c r="H10" s="105"/>
    </row>
    <row r="11" spans="1:10" s="23" customFormat="1" ht="20.25" customHeight="1" thickBot="1" x14ac:dyDescent="0.25">
      <c r="A11" s="106"/>
      <c r="B11" s="89"/>
      <c r="C11" s="89"/>
      <c r="D11" s="26"/>
      <c r="E11" s="76" t="s">
        <v>6</v>
      </c>
      <c r="F11" s="66"/>
      <c r="G11" s="196" t="s">
        <v>842</v>
      </c>
      <c r="H11" s="197"/>
      <c r="I11" s="23" t="s">
        <v>27</v>
      </c>
    </row>
    <row r="12" spans="1:10" s="23" customFormat="1" ht="20.25" customHeight="1" thickBot="1" x14ac:dyDescent="0.25">
      <c r="A12" s="176"/>
      <c r="B12" s="177"/>
      <c r="C12" s="177"/>
      <c r="D12" s="26"/>
      <c r="E12" s="76" t="s">
        <v>2</v>
      </c>
      <c r="F12" s="66"/>
      <c r="G12" s="202" t="str">
        <f>VLOOKUP(QUO!G11,Sale!B3:E16,2,0)</f>
        <v>0399 103 595</v>
      </c>
      <c r="H12" s="203"/>
      <c r="I12" s="23" t="s">
        <v>701</v>
      </c>
      <c r="J12" s="23">
        <f>VLOOKUP(I12,Custom!B2:H261,7,0)</f>
        <v>122</v>
      </c>
    </row>
    <row r="13" spans="1:10" s="23" customFormat="1" ht="20.45" customHeight="1" thickBot="1" x14ac:dyDescent="0.25">
      <c r="A13" s="178"/>
      <c r="B13" s="179"/>
      <c r="C13" s="179"/>
      <c r="D13" s="73"/>
      <c r="E13" s="76" t="s">
        <v>7</v>
      </c>
      <c r="F13" s="66"/>
      <c r="G13" s="204" t="str">
        <f>VLOOKUP(QUO!G11,Sale!B3:E16,3,0)</f>
        <v>dothi.hoa@gmail.com</v>
      </c>
      <c r="H13" s="205"/>
    </row>
    <row r="14" spans="1:10" s="23" customFormat="1" ht="21" customHeight="1" thickBot="1" x14ac:dyDescent="0.25">
      <c r="A14" s="180"/>
      <c r="B14" s="181"/>
      <c r="C14" s="181"/>
      <c r="D14" s="74"/>
      <c r="E14" s="26"/>
      <c r="F14" s="68"/>
      <c r="G14" s="68"/>
      <c r="H14" s="88"/>
    </row>
    <row r="15" spans="1:10" s="23" customFormat="1" ht="45" customHeight="1" thickBot="1" x14ac:dyDescent="0.3">
      <c r="A15" s="107" t="s">
        <v>8</v>
      </c>
      <c r="B15" s="79"/>
      <c r="C15" s="79"/>
      <c r="D15" s="74"/>
      <c r="E15" s="200" t="s">
        <v>9</v>
      </c>
      <c r="F15" s="201"/>
      <c r="G15" s="198" t="s">
        <v>10</v>
      </c>
      <c r="H15" s="199"/>
    </row>
    <row r="16" spans="1:10" s="23" customFormat="1" ht="12.75" customHeight="1" thickBot="1" x14ac:dyDescent="0.25">
      <c r="A16" s="108"/>
      <c r="B16" s="28"/>
      <c r="C16" s="28"/>
      <c r="D16" s="74"/>
      <c r="E16" s="26"/>
      <c r="F16" s="68"/>
      <c r="G16" s="68"/>
      <c r="H16" s="88"/>
    </row>
    <row r="17" spans="1:9" s="29" customFormat="1" ht="12" x14ac:dyDescent="0.2">
      <c r="A17" s="217" t="s">
        <v>0</v>
      </c>
      <c r="B17" s="192" t="s">
        <v>3</v>
      </c>
      <c r="C17" s="192"/>
      <c r="D17" s="192" t="s">
        <v>4</v>
      </c>
      <c r="E17" s="192" t="s">
        <v>23</v>
      </c>
      <c r="F17" s="213" t="s">
        <v>5</v>
      </c>
      <c r="G17" s="221" t="s">
        <v>25</v>
      </c>
      <c r="H17" s="215" t="s">
        <v>24</v>
      </c>
    </row>
    <row r="18" spans="1:9" s="29" customFormat="1" ht="12" x14ac:dyDescent="0.2">
      <c r="A18" s="218"/>
      <c r="B18" s="193"/>
      <c r="C18" s="193"/>
      <c r="D18" s="193"/>
      <c r="E18" s="193"/>
      <c r="F18" s="214"/>
      <c r="G18" s="222"/>
      <c r="H18" s="216"/>
    </row>
    <row r="19" spans="1:9" s="23" customFormat="1" ht="41.1" customHeight="1" x14ac:dyDescent="0.2">
      <c r="A19" s="144"/>
      <c r="B19" s="182" t="s">
        <v>851</v>
      </c>
      <c r="C19" s="183"/>
      <c r="D19" s="136">
        <v>24</v>
      </c>
      <c r="E19" s="136" t="s">
        <v>813</v>
      </c>
      <c r="F19" s="147">
        <v>325300000</v>
      </c>
      <c r="G19" s="147">
        <f>F19*D19</f>
        <v>7807200000</v>
      </c>
      <c r="H19" s="145" t="s">
        <v>864</v>
      </c>
      <c r="I19" s="23">
        <f>660*1.15/0.8</f>
        <v>948.74999999999977</v>
      </c>
    </row>
    <row r="20" spans="1:9" s="29" customFormat="1" ht="26.1" customHeight="1" x14ac:dyDescent="0.2">
      <c r="A20" s="146">
        <v>1</v>
      </c>
      <c r="B20" s="184" t="s">
        <v>852</v>
      </c>
      <c r="C20" s="185"/>
      <c r="D20" s="148">
        <v>24</v>
      </c>
      <c r="E20" s="148" t="s">
        <v>812</v>
      </c>
      <c r="F20" s="137"/>
      <c r="G20" s="137"/>
      <c r="H20" s="149"/>
    </row>
    <row r="21" spans="1:9" s="29" customFormat="1" ht="26.1" customHeight="1" x14ac:dyDescent="0.2">
      <c r="A21" s="146"/>
      <c r="B21" s="167" t="s">
        <v>853</v>
      </c>
      <c r="C21" s="168"/>
      <c r="D21" s="148"/>
      <c r="E21" s="148"/>
      <c r="F21" s="137"/>
      <c r="G21" s="137"/>
      <c r="H21" s="149"/>
    </row>
    <row r="22" spans="1:9" s="29" customFormat="1" ht="26.1" customHeight="1" x14ac:dyDescent="0.2">
      <c r="A22" s="146">
        <v>2</v>
      </c>
      <c r="B22" s="184" t="s">
        <v>749</v>
      </c>
      <c r="C22" s="185"/>
      <c r="D22" s="148">
        <v>24</v>
      </c>
      <c r="E22" s="148" t="s">
        <v>812</v>
      </c>
      <c r="F22" s="137"/>
      <c r="G22" s="137"/>
      <c r="H22" s="149"/>
    </row>
    <row r="23" spans="1:9" s="29" customFormat="1" ht="26.1" customHeight="1" x14ac:dyDescent="0.2">
      <c r="A23" s="146"/>
      <c r="B23" s="167" t="s">
        <v>854</v>
      </c>
      <c r="C23" s="168"/>
      <c r="D23" s="148"/>
      <c r="E23" s="148"/>
      <c r="F23" s="137"/>
      <c r="G23" s="137"/>
      <c r="H23" s="149"/>
    </row>
    <row r="24" spans="1:9" s="29" customFormat="1" ht="26.1" customHeight="1" x14ac:dyDescent="0.2">
      <c r="A24" s="146">
        <v>3</v>
      </c>
      <c r="B24" s="184" t="s">
        <v>780</v>
      </c>
      <c r="C24" s="185"/>
      <c r="D24" s="148">
        <v>24</v>
      </c>
      <c r="E24" s="148" t="s">
        <v>812</v>
      </c>
      <c r="F24" s="137"/>
      <c r="G24" s="137"/>
      <c r="H24" s="149"/>
    </row>
    <row r="25" spans="1:9" s="29" customFormat="1" ht="26.1" customHeight="1" x14ac:dyDescent="0.2">
      <c r="A25" s="146"/>
      <c r="B25" s="167" t="s">
        <v>855</v>
      </c>
      <c r="C25" s="168"/>
      <c r="D25" s="148"/>
      <c r="E25" s="148"/>
      <c r="F25" s="137"/>
      <c r="G25" s="137"/>
      <c r="H25" s="149"/>
    </row>
    <row r="26" spans="1:9" s="29" customFormat="1" ht="26.1" customHeight="1" x14ac:dyDescent="0.2">
      <c r="A26" s="146">
        <v>4</v>
      </c>
      <c r="B26" s="155" t="s">
        <v>782</v>
      </c>
      <c r="C26" s="156"/>
      <c r="D26" s="148">
        <v>24</v>
      </c>
      <c r="E26" s="148" t="s">
        <v>812</v>
      </c>
      <c r="F26" s="137"/>
      <c r="G26" s="137"/>
      <c r="H26" s="149"/>
    </row>
    <row r="27" spans="1:9" s="29" customFormat="1" ht="26.1" customHeight="1" x14ac:dyDescent="0.2">
      <c r="A27" s="146"/>
      <c r="B27" s="167"/>
      <c r="C27" s="168"/>
      <c r="D27" s="148"/>
      <c r="E27" s="148"/>
      <c r="F27" s="137"/>
      <c r="G27" s="137"/>
      <c r="H27" s="149"/>
    </row>
    <row r="28" spans="1:9" s="29" customFormat="1" ht="26.1" customHeight="1" x14ac:dyDescent="0.2">
      <c r="A28" s="146">
        <v>5</v>
      </c>
      <c r="B28" s="155" t="s">
        <v>856</v>
      </c>
      <c r="C28" s="156"/>
      <c r="D28" s="148">
        <v>12</v>
      </c>
      <c r="E28" s="148" t="s">
        <v>812</v>
      </c>
      <c r="F28" s="137"/>
      <c r="G28" s="137"/>
      <c r="H28" s="149"/>
    </row>
    <row r="29" spans="1:9" s="29" customFormat="1" ht="26.1" customHeight="1" x14ac:dyDescent="0.2">
      <c r="A29" s="146"/>
      <c r="B29" s="150" t="s">
        <v>857</v>
      </c>
      <c r="C29" s="151"/>
      <c r="D29" s="148"/>
      <c r="E29" s="148"/>
      <c r="F29" s="137"/>
      <c r="G29" s="137"/>
      <c r="H29" s="149"/>
    </row>
    <row r="30" spans="1:9" s="29" customFormat="1" ht="26.1" customHeight="1" x14ac:dyDescent="0.2">
      <c r="A30" s="146">
        <v>6</v>
      </c>
      <c r="B30" s="155" t="s">
        <v>858</v>
      </c>
      <c r="C30" s="156"/>
      <c r="D30" s="148">
        <v>12</v>
      </c>
      <c r="E30" s="148" t="s">
        <v>812</v>
      </c>
      <c r="F30" s="137"/>
      <c r="G30" s="137"/>
      <c r="H30" s="149"/>
    </row>
    <row r="31" spans="1:9" s="29" customFormat="1" ht="26.1" customHeight="1" x14ac:dyDescent="0.2">
      <c r="A31" s="146"/>
      <c r="B31" s="150" t="s">
        <v>857</v>
      </c>
      <c r="C31" s="151"/>
      <c r="D31" s="148"/>
      <c r="E31" s="148"/>
      <c r="F31" s="137"/>
      <c r="G31" s="137"/>
      <c r="H31" s="149"/>
    </row>
    <row r="32" spans="1:9" s="29" customFormat="1" ht="26.1" customHeight="1" x14ac:dyDescent="0.2">
      <c r="A32" s="146">
        <v>7</v>
      </c>
      <c r="B32" s="155" t="s">
        <v>859</v>
      </c>
      <c r="C32" s="156"/>
      <c r="D32" s="148">
        <v>24</v>
      </c>
      <c r="E32" s="152" t="s">
        <v>812</v>
      </c>
      <c r="F32" s="137"/>
      <c r="G32" s="137"/>
      <c r="H32" s="149"/>
    </row>
    <row r="33" spans="1:10 16384:16384" s="29" customFormat="1" ht="26.1" customHeight="1" x14ac:dyDescent="0.2">
      <c r="A33" s="146"/>
      <c r="B33" s="150" t="s">
        <v>850</v>
      </c>
      <c r="C33" s="151"/>
      <c r="D33" s="148"/>
      <c r="E33" s="148"/>
      <c r="F33" s="137"/>
      <c r="G33" s="137"/>
      <c r="H33" s="149"/>
    </row>
    <row r="34" spans="1:10 16384:16384" s="29" customFormat="1" ht="26.1" customHeight="1" x14ac:dyDescent="0.2">
      <c r="A34" s="146">
        <v>8</v>
      </c>
      <c r="B34" s="155" t="s">
        <v>860</v>
      </c>
      <c r="C34" s="156"/>
      <c r="D34" s="148">
        <v>24</v>
      </c>
      <c r="E34" s="148" t="s">
        <v>812</v>
      </c>
      <c r="F34" s="137"/>
      <c r="G34" s="137"/>
      <c r="H34" s="149"/>
    </row>
    <row r="35" spans="1:10 16384:16384" s="29" customFormat="1" ht="26.1" customHeight="1" x14ac:dyDescent="0.2">
      <c r="A35" s="146"/>
      <c r="B35" s="150" t="s">
        <v>861</v>
      </c>
      <c r="C35" s="151"/>
      <c r="D35" s="148"/>
      <c r="E35" s="148"/>
      <c r="F35" s="137"/>
      <c r="G35" s="154"/>
      <c r="H35" s="149"/>
    </row>
    <row r="36" spans="1:10 16384:16384" s="29" customFormat="1" ht="26.1" customHeight="1" x14ac:dyDescent="0.2">
      <c r="A36" s="146">
        <v>9</v>
      </c>
      <c r="B36" s="155" t="s">
        <v>862</v>
      </c>
      <c r="C36" s="156"/>
      <c r="D36" s="148">
        <v>24</v>
      </c>
      <c r="E36" s="153" t="s">
        <v>812</v>
      </c>
      <c r="F36" s="137"/>
      <c r="G36" s="137"/>
      <c r="H36" s="149"/>
    </row>
    <row r="37" spans="1:10 16384:16384" s="29" customFormat="1" ht="26.1" customHeight="1" x14ac:dyDescent="0.2">
      <c r="A37" s="146"/>
      <c r="B37" s="157" t="s">
        <v>861</v>
      </c>
      <c r="C37" s="158"/>
      <c r="D37" s="148"/>
      <c r="E37" s="153"/>
      <c r="F37" s="137"/>
      <c r="G37" s="137"/>
      <c r="H37" s="149"/>
    </row>
    <row r="38" spans="1:10 16384:16384" s="29" customFormat="1" ht="26.1" customHeight="1" x14ac:dyDescent="0.2">
      <c r="A38" s="146">
        <v>10</v>
      </c>
      <c r="B38" s="155" t="s">
        <v>752</v>
      </c>
      <c r="C38" s="156"/>
      <c r="D38" s="148">
        <v>24</v>
      </c>
      <c r="E38" s="153" t="s">
        <v>812</v>
      </c>
      <c r="F38" s="137"/>
      <c r="G38" s="137"/>
      <c r="H38" s="149"/>
    </row>
    <row r="39" spans="1:10 16384:16384" s="29" customFormat="1" ht="26.1" customHeight="1" thickBot="1" x14ac:dyDescent="0.25">
      <c r="A39" s="146"/>
      <c r="B39" s="159" t="s">
        <v>863</v>
      </c>
      <c r="C39" s="160"/>
      <c r="D39" s="148"/>
      <c r="E39" s="148"/>
      <c r="F39" s="137"/>
      <c r="G39" s="137"/>
      <c r="H39" s="149"/>
    </row>
    <row r="40" spans="1:10 16384:16384" s="77" customFormat="1" ht="19.5" customHeight="1" x14ac:dyDescent="0.2">
      <c r="A40" s="223" t="s">
        <v>809</v>
      </c>
      <c r="B40" s="224"/>
      <c r="C40" s="224"/>
      <c r="D40" s="224"/>
      <c r="E40" s="224"/>
      <c r="F40" s="224"/>
      <c r="G40" s="139">
        <f>SUM(G19:G25)</f>
        <v>7807200000</v>
      </c>
      <c r="H40" s="140" t="s">
        <v>823</v>
      </c>
      <c r="J40" s="92" t="e">
        <f>#REF!/23500</f>
        <v>#REF!</v>
      </c>
      <c r="XFD40" s="96" t="e">
        <f>SUM(G40:XFC40)</f>
        <v>#REF!</v>
      </c>
    </row>
    <row r="41" spans="1:10 16384:16384" s="77" customFormat="1" ht="19.5" customHeight="1" x14ac:dyDescent="0.2">
      <c r="A41" s="186" t="s">
        <v>824</v>
      </c>
      <c r="B41" s="187"/>
      <c r="C41" s="187"/>
      <c r="D41" s="187"/>
      <c r="E41" s="188"/>
      <c r="F41" s="143">
        <v>0.1</v>
      </c>
      <c r="G41" s="138">
        <f>G40*10%</f>
        <v>780720000</v>
      </c>
      <c r="H41" s="141" t="s">
        <v>823</v>
      </c>
      <c r="J41" s="92"/>
      <c r="XFD41" s="96"/>
    </row>
    <row r="42" spans="1:10 16384:16384" s="77" customFormat="1" ht="19.5" customHeight="1" thickBot="1" x14ac:dyDescent="0.25">
      <c r="A42" s="225" t="s">
        <v>826</v>
      </c>
      <c r="B42" s="226"/>
      <c r="C42" s="226"/>
      <c r="D42" s="226"/>
      <c r="E42" s="226"/>
      <c r="F42" s="226"/>
      <c r="G42" s="135">
        <f>SUM(G40:G41)</f>
        <v>8587920000</v>
      </c>
      <c r="H42" s="142" t="s">
        <v>823</v>
      </c>
      <c r="J42" s="92"/>
      <c r="XFD42" s="96"/>
    </row>
    <row r="43" spans="1:10 16384:16384" s="77" customFormat="1" ht="19.5" customHeight="1" thickBot="1" x14ac:dyDescent="0.25">
      <c r="A43" s="169" t="s">
        <v>249</v>
      </c>
      <c r="B43" s="170"/>
      <c r="C43" s="171" t="s">
        <v>865</v>
      </c>
      <c r="D43" s="170"/>
      <c r="E43" s="170"/>
      <c r="F43" s="170"/>
      <c r="G43" s="170"/>
      <c r="H43" s="172"/>
      <c r="J43" s="77" t="s">
        <v>825</v>
      </c>
    </row>
    <row r="44" spans="1:10 16384:16384" s="23" customFormat="1" ht="12" x14ac:dyDescent="0.2">
      <c r="A44" s="109"/>
      <c r="B44" s="24"/>
      <c r="C44" s="25"/>
      <c r="D44" s="25"/>
      <c r="E44" s="25"/>
      <c r="F44" s="67"/>
      <c r="G44" s="67"/>
      <c r="H44" s="110"/>
    </row>
    <row r="45" spans="1:10 16384:16384" s="27" customFormat="1" ht="12" x14ac:dyDescent="0.2">
      <c r="A45" s="111" t="s">
        <v>247</v>
      </c>
      <c r="B45" s="26"/>
      <c r="C45" s="26"/>
      <c r="D45" s="26"/>
      <c r="E45" s="26"/>
      <c r="F45" s="68"/>
      <c r="G45" s="68"/>
      <c r="H45" s="88"/>
    </row>
    <row r="46" spans="1:10 16384:16384" s="23" customFormat="1" ht="17.45" customHeight="1" x14ac:dyDescent="0.2">
      <c r="A46" s="219" t="s">
        <v>847</v>
      </c>
      <c r="B46" s="166"/>
      <c r="C46" s="166"/>
      <c r="D46" s="166"/>
      <c r="E46" s="166"/>
      <c r="F46" s="166"/>
      <c r="G46" s="166"/>
      <c r="H46" s="220"/>
    </row>
    <row r="47" spans="1:10 16384:16384" s="23" customFormat="1" ht="12" x14ac:dyDescent="0.2">
      <c r="A47" s="189" t="s">
        <v>831</v>
      </c>
      <c r="B47" s="190"/>
      <c r="C47" s="190"/>
      <c r="D47" s="190"/>
      <c r="E47" s="190"/>
      <c r="F47" s="190"/>
      <c r="G47" s="190"/>
      <c r="H47" s="191"/>
    </row>
    <row r="48" spans="1:10 16384:16384" s="23" customFormat="1" ht="12" x14ac:dyDescent="0.2">
      <c r="A48" s="189" t="s">
        <v>273</v>
      </c>
      <c r="B48" s="190"/>
      <c r="C48" s="190"/>
      <c r="D48" s="190"/>
      <c r="E48" s="190"/>
      <c r="F48" s="190"/>
      <c r="G48" s="190"/>
      <c r="H48" s="191"/>
    </row>
    <row r="49" spans="1:8" s="23" customFormat="1" ht="12" x14ac:dyDescent="0.2">
      <c r="A49" s="189" t="s">
        <v>274</v>
      </c>
      <c r="B49" s="190"/>
      <c r="C49" s="190"/>
      <c r="D49" s="190"/>
      <c r="E49" s="190"/>
      <c r="F49" s="190"/>
      <c r="G49" s="190"/>
      <c r="H49" s="191"/>
    </row>
    <row r="50" spans="1:8" s="23" customFormat="1" ht="12" x14ac:dyDescent="0.2">
      <c r="A50" s="189" t="s">
        <v>846</v>
      </c>
      <c r="B50" s="190"/>
      <c r="C50" s="190"/>
      <c r="D50" s="190"/>
      <c r="E50" s="190"/>
      <c r="F50" s="190"/>
      <c r="G50" s="190"/>
      <c r="H50" s="191"/>
    </row>
    <row r="51" spans="1:8" s="23" customFormat="1" ht="12" x14ac:dyDescent="0.2">
      <c r="A51" s="189" t="s">
        <v>275</v>
      </c>
      <c r="B51" s="190"/>
      <c r="C51" s="190"/>
      <c r="D51" s="190"/>
      <c r="E51" s="190"/>
      <c r="F51" s="190"/>
      <c r="G51" s="190"/>
      <c r="H51" s="191"/>
    </row>
    <row r="52" spans="1:8" s="23" customFormat="1" ht="12" x14ac:dyDescent="0.2">
      <c r="A52" s="189" t="s">
        <v>848</v>
      </c>
      <c r="B52" s="190"/>
      <c r="C52" s="190"/>
      <c r="D52" s="190"/>
      <c r="E52" s="190"/>
      <c r="F52" s="190"/>
      <c r="G52" s="190"/>
      <c r="H52" s="191"/>
    </row>
    <row r="53" spans="1:8" ht="13.5" thickBot="1" x14ac:dyDescent="0.25">
      <c r="A53" s="112"/>
      <c r="B53" s="113"/>
      <c r="C53" s="113"/>
      <c r="D53" s="114"/>
      <c r="E53" s="114"/>
      <c r="F53" s="115"/>
      <c r="G53" s="115"/>
      <c r="H53" s="116"/>
    </row>
    <row r="54" spans="1:8" s="22" customFormat="1" ht="22.5" customHeight="1" x14ac:dyDescent="0.2">
      <c r="A54" s="211" t="s">
        <v>731</v>
      </c>
      <c r="B54" s="212"/>
      <c r="C54" s="212"/>
      <c r="D54" s="212"/>
      <c r="E54" s="212"/>
      <c r="F54" s="212"/>
      <c r="G54" s="212"/>
      <c r="H54" s="212"/>
    </row>
  </sheetData>
  <mergeCells count="58">
    <mergeCell ref="A54:H54"/>
    <mergeCell ref="F17:F18"/>
    <mergeCell ref="H17:H18"/>
    <mergeCell ref="A17:A18"/>
    <mergeCell ref="B17:C18"/>
    <mergeCell ref="E17:E18"/>
    <mergeCell ref="A46:H46"/>
    <mergeCell ref="A51:H51"/>
    <mergeCell ref="A52:H52"/>
    <mergeCell ref="A50:H50"/>
    <mergeCell ref="A49:H49"/>
    <mergeCell ref="G17:G18"/>
    <mergeCell ref="A40:F40"/>
    <mergeCell ref="B24:C24"/>
    <mergeCell ref="A42:F42"/>
    <mergeCell ref="A41:E41"/>
    <mergeCell ref="A48:H48"/>
    <mergeCell ref="A47:H47"/>
    <mergeCell ref="D17:D18"/>
    <mergeCell ref="F2:H2"/>
    <mergeCell ref="G11:H11"/>
    <mergeCell ref="G15:H15"/>
    <mergeCell ref="E15:F15"/>
    <mergeCell ref="A5:B5"/>
    <mergeCell ref="C5:D5"/>
    <mergeCell ref="A6:B6"/>
    <mergeCell ref="C6:D6"/>
    <mergeCell ref="G12:H12"/>
    <mergeCell ref="G13:H13"/>
    <mergeCell ref="F3:G3"/>
    <mergeCell ref="A1:C4"/>
    <mergeCell ref="A43:B43"/>
    <mergeCell ref="C43:H43"/>
    <mergeCell ref="A9:B9"/>
    <mergeCell ref="C9:D9"/>
    <mergeCell ref="E8:H8"/>
    <mergeCell ref="A12:C13"/>
    <mergeCell ref="A14:C14"/>
    <mergeCell ref="B19:C19"/>
    <mergeCell ref="B20:C20"/>
    <mergeCell ref="B22:C22"/>
    <mergeCell ref="B21:C21"/>
    <mergeCell ref="B23:C23"/>
    <mergeCell ref="B25:C25"/>
    <mergeCell ref="B26:C26"/>
    <mergeCell ref="B30:C30"/>
    <mergeCell ref="B34:C34"/>
    <mergeCell ref="A7:B7"/>
    <mergeCell ref="C7:D7"/>
    <mergeCell ref="A8:B8"/>
    <mergeCell ref="C8:D8"/>
    <mergeCell ref="B27:C27"/>
    <mergeCell ref="B36:C36"/>
    <mergeCell ref="B37:C37"/>
    <mergeCell ref="B38:C38"/>
    <mergeCell ref="B39:C39"/>
    <mergeCell ref="B28:C28"/>
    <mergeCell ref="B32:C32"/>
  </mergeCells>
  <hyperlinks>
    <hyperlink ref="G13" r:id="rId1" display="sales@rtc.edu.vn"/>
  </hyperlinks>
  <pageMargins left="0.7" right="0.7" top="0.75" bottom="0.75" header="0.3" footer="0.3"/>
  <pageSetup scale="62" fitToHeight="0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Custom!$B$2:$B$1000</xm:f>
          </x14:formula1>
          <xm:sqref>I12</xm:sqref>
        </x14:dataValidation>
        <x14:dataValidation type="list" allowBlank="1" showInputMessage="1" showErrorMessage="1">
          <x14:formula1>
            <xm:f>Sale!$B$3:$B$19</xm:f>
          </x14:formula1>
          <xm:sqref>G11:H11</xm:sqref>
        </x14:dataValidation>
        <x14:dataValidation type="list" allowBlank="1" showInputMessage="1" showErrorMessage="1">
          <x14:formula1>
            <xm:f>'ĐKHOẢN CHUNG'!$B$2:$B$10</xm:f>
          </x14:formula1>
          <xm:sqref>A46:H46</xm:sqref>
        </x14:dataValidation>
        <x14:dataValidation type="list" allowBlank="1" showInputMessage="1" showErrorMessage="1">
          <x14:formula1>
            <xm:f>'ĐKHOẢN CHUNG'!$D$2:$D$8</xm:f>
          </x14:formula1>
          <xm:sqref>A51:H51</xm:sqref>
        </x14:dataValidation>
        <x14:dataValidation type="list" allowBlank="1" showInputMessage="1" showErrorMessage="1">
          <x14:formula1>
            <xm:f>'ĐKHOẢN CHUNG'!$B$10:$B$17</xm:f>
          </x14:formula1>
          <xm:sqref>A50:H50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J30"/>
  <sheetViews>
    <sheetView topLeftCell="A13" workbookViewId="0">
      <selection activeCell="F32" sqref="F32"/>
    </sheetView>
  </sheetViews>
  <sheetFormatPr defaultColWidth="8.875" defaultRowHeight="14.25" x14ac:dyDescent="0.2"/>
  <cols>
    <col min="2" max="2" width="49" customWidth="1"/>
    <col min="3" max="3" width="12.125" customWidth="1"/>
    <col min="6" max="6" width="24.375" customWidth="1"/>
    <col min="8" max="8" width="25.875" style="94" customWidth="1"/>
    <col min="9" max="9" width="17.375" style="121" customWidth="1"/>
  </cols>
  <sheetData>
    <row r="5" spans="1:10" x14ac:dyDescent="0.2">
      <c r="F5" t="s">
        <v>772</v>
      </c>
    </row>
    <row r="7" spans="1:10" ht="15" x14ac:dyDescent="0.25">
      <c r="B7" s="119" t="s">
        <v>762</v>
      </c>
      <c r="C7" s="119" t="s">
        <v>763</v>
      </c>
      <c r="D7" s="119" t="s">
        <v>764</v>
      </c>
      <c r="E7" s="119" t="s">
        <v>765</v>
      </c>
      <c r="F7" s="119" t="s">
        <v>766</v>
      </c>
      <c r="G7" s="119" t="s">
        <v>767</v>
      </c>
      <c r="H7" s="120" t="s">
        <v>768</v>
      </c>
      <c r="I7" s="122" t="s">
        <v>771</v>
      </c>
      <c r="J7" s="119" t="s">
        <v>773</v>
      </c>
    </row>
    <row r="8" spans="1:10" x14ac:dyDescent="0.2">
      <c r="B8" t="s">
        <v>770</v>
      </c>
      <c r="C8" s="118">
        <v>3895</v>
      </c>
      <c r="D8">
        <v>41</v>
      </c>
      <c r="E8" s="93">
        <v>2298.0500000000002</v>
      </c>
      <c r="F8" s="229">
        <f>E8*J8*I8</f>
        <v>71285511.000000015</v>
      </c>
      <c r="G8">
        <v>1</v>
      </c>
      <c r="H8" s="94">
        <f>G8*F8</f>
        <v>71285511.000000015</v>
      </c>
      <c r="I8" s="121">
        <v>23500</v>
      </c>
      <c r="J8">
        <v>1.32</v>
      </c>
    </row>
    <row r="9" spans="1:10" x14ac:dyDescent="0.2">
      <c r="B9" t="s">
        <v>769</v>
      </c>
      <c r="F9" s="229"/>
      <c r="H9" s="94">
        <f t="shared" ref="H9:H27" si="0">G9*F9</f>
        <v>0</v>
      </c>
      <c r="I9" s="121">
        <v>23500</v>
      </c>
      <c r="J9">
        <v>1.32</v>
      </c>
    </row>
    <row r="10" spans="1:10" x14ac:dyDescent="0.2">
      <c r="B10" t="s">
        <v>775</v>
      </c>
      <c r="C10">
        <v>125</v>
      </c>
      <c r="D10">
        <v>25</v>
      </c>
      <c r="E10">
        <v>93.75</v>
      </c>
      <c r="F10" s="229">
        <f t="shared" ref="F10:F27" si="1">E10*J10*I10</f>
        <v>2908125</v>
      </c>
      <c r="H10" s="94">
        <f t="shared" si="0"/>
        <v>0</v>
      </c>
      <c r="I10" s="121">
        <v>23500</v>
      </c>
      <c r="J10">
        <v>1.32</v>
      </c>
    </row>
    <row r="11" spans="1:10" x14ac:dyDescent="0.2">
      <c r="B11" t="s">
        <v>774</v>
      </c>
      <c r="F11" s="229"/>
      <c r="H11" s="94">
        <f t="shared" si="0"/>
        <v>0</v>
      </c>
      <c r="I11" s="121">
        <v>23500</v>
      </c>
      <c r="J11">
        <v>1.32</v>
      </c>
    </row>
    <row r="12" spans="1:10" x14ac:dyDescent="0.2">
      <c r="B12" t="s">
        <v>777</v>
      </c>
      <c r="C12">
        <v>140</v>
      </c>
      <c r="E12">
        <v>105</v>
      </c>
      <c r="F12" s="229">
        <f t="shared" si="1"/>
        <v>3257100</v>
      </c>
      <c r="H12" s="94">
        <f t="shared" si="0"/>
        <v>0</v>
      </c>
      <c r="I12" s="121">
        <v>23500</v>
      </c>
      <c r="J12">
        <v>1.32</v>
      </c>
    </row>
    <row r="13" spans="1:10" x14ac:dyDescent="0.2">
      <c r="B13" t="s">
        <v>776</v>
      </c>
      <c r="F13" s="229"/>
      <c r="H13" s="94">
        <f t="shared" si="0"/>
        <v>0</v>
      </c>
      <c r="I13" s="121">
        <v>23500</v>
      </c>
      <c r="J13">
        <v>1.32</v>
      </c>
    </row>
    <row r="14" spans="1:10" x14ac:dyDescent="0.2">
      <c r="F14" s="229">
        <f t="shared" si="1"/>
        <v>0</v>
      </c>
      <c r="H14" s="94">
        <f t="shared" si="0"/>
        <v>0</v>
      </c>
      <c r="I14" s="121">
        <v>23500</v>
      </c>
      <c r="J14">
        <v>1.32</v>
      </c>
    </row>
    <row r="15" spans="1:10" x14ac:dyDescent="0.2">
      <c r="F15" s="229"/>
      <c r="H15" s="94">
        <f t="shared" si="0"/>
        <v>0</v>
      </c>
      <c r="I15" s="121">
        <v>23500</v>
      </c>
      <c r="J15">
        <v>1.32</v>
      </c>
    </row>
    <row r="16" spans="1:10" ht="15.75" x14ac:dyDescent="0.25">
      <c r="A16" s="228" t="s">
        <v>786</v>
      </c>
      <c r="B16" s="123" t="s">
        <v>778</v>
      </c>
      <c r="C16" s="124">
        <v>9025</v>
      </c>
      <c r="D16" s="18"/>
      <c r="E16" s="18">
        <f>C16*0.6</f>
        <v>5415</v>
      </c>
      <c r="F16" s="125">
        <f t="shared" si="1"/>
        <v>167973300</v>
      </c>
      <c r="G16" s="18">
        <v>1</v>
      </c>
      <c r="H16" s="126">
        <f t="shared" si="0"/>
        <v>167973300</v>
      </c>
      <c r="I16" s="127">
        <v>23500</v>
      </c>
      <c r="J16" s="18">
        <v>1.32</v>
      </c>
    </row>
    <row r="17" spans="1:10" x14ac:dyDescent="0.2">
      <c r="A17" s="228"/>
      <c r="B17" s="230" t="s">
        <v>779</v>
      </c>
      <c r="C17" s="230"/>
      <c r="D17" s="18"/>
      <c r="E17" s="18">
        <f t="shared" ref="E17:E21" si="2">C17*0.6</f>
        <v>0</v>
      </c>
      <c r="F17" s="125">
        <f t="shared" si="1"/>
        <v>0</v>
      </c>
      <c r="G17" s="18">
        <v>1</v>
      </c>
      <c r="H17" s="126">
        <f t="shared" si="0"/>
        <v>0</v>
      </c>
      <c r="I17" s="127">
        <v>23500</v>
      </c>
      <c r="J17" s="18">
        <v>1.32</v>
      </c>
    </row>
    <row r="18" spans="1:10" ht="15.75" x14ac:dyDescent="0.25">
      <c r="A18" s="228"/>
      <c r="B18" s="128" t="s">
        <v>749</v>
      </c>
      <c r="C18" s="124">
        <v>125</v>
      </c>
      <c r="D18" s="18"/>
      <c r="E18" s="18">
        <f t="shared" si="2"/>
        <v>75</v>
      </c>
      <c r="F18" s="125">
        <f t="shared" si="1"/>
        <v>2326500</v>
      </c>
      <c r="G18" s="18">
        <v>1</v>
      </c>
      <c r="H18" s="126">
        <f t="shared" si="0"/>
        <v>2326500</v>
      </c>
      <c r="I18" s="127">
        <v>23500</v>
      </c>
      <c r="J18" s="18">
        <v>1.32</v>
      </c>
    </row>
    <row r="19" spans="1:10" ht="15" x14ac:dyDescent="0.2">
      <c r="A19" s="228"/>
      <c r="B19" s="129" t="s">
        <v>750</v>
      </c>
      <c r="C19" s="124"/>
      <c r="D19" s="18"/>
      <c r="E19" s="18">
        <f t="shared" si="2"/>
        <v>0</v>
      </c>
      <c r="F19" s="125">
        <f t="shared" si="1"/>
        <v>0</v>
      </c>
      <c r="G19" s="18">
        <v>1</v>
      </c>
      <c r="H19" s="126">
        <f t="shared" si="0"/>
        <v>0</v>
      </c>
      <c r="I19" s="127">
        <v>23500</v>
      </c>
      <c r="J19" s="18">
        <v>1.32</v>
      </c>
    </row>
    <row r="20" spans="1:10" ht="15.75" x14ac:dyDescent="0.25">
      <c r="A20" s="228"/>
      <c r="B20" s="128" t="s">
        <v>780</v>
      </c>
      <c r="C20" s="124">
        <v>95</v>
      </c>
      <c r="D20" s="18"/>
      <c r="E20" s="18">
        <f t="shared" si="2"/>
        <v>57</v>
      </c>
      <c r="F20" s="125">
        <f t="shared" si="1"/>
        <v>1768140.0000000002</v>
      </c>
      <c r="G20" s="18">
        <v>1</v>
      </c>
      <c r="H20" s="126">
        <f t="shared" si="0"/>
        <v>1768140.0000000002</v>
      </c>
      <c r="I20" s="127">
        <v>23500</v>
      </c>
      <c r="J20" s="18">
        <v>1.32</v>
      </c>
    </row>
    <row r="21" spans="1:10" x14ac:dyDescent="0.2">
      <c r="A21" s="228"/>
      <c r="B21" s="227" t="s">
        <v>781</v>
      </c>
      <c r="C21" s="227"/>
      <c r="D21" s="18"/>
      <c r="E21" s="18">
        <f t="shared" si="2"/>
        <v>0</v>
      </c>
      <c r="F21" s="125">
        <f t="shared" si="1"/>
        <v>0</v>
      </c>
      <c r="G21" s="18">
        <v>1</v>
      </c>
      <c r="H21" s="126">
        <f t="shared" si="0"/>
        <v>0</v>
      </c>
      <c r="I21" s="127">
        <v>23500</v>
      </c>
      <c r="J21" s="18">
        <v>1.32</v>
      </c>
    </row>
    <row r="22" spans="1:10" ht="18" x14ac:dyDescent="0.2">
      <c r="A22" s="228"/>
      <c r="B22" s="130" t="s">
        <v>782</v>
      </c>
      <c r="C22" s="124">
        <v>20</v>
      </c>
      <c r="D22" s="18"/>
      <c r="E22" s="18">
        <v>20</v>
      </c>
      <c r="F22" s="125">
        <f t="shared" si="1"/>
        <v>620400</v>
      </c>
      <c r="G22" s="18">
        <v>1</v>
      </c>
      <c r="H22" s="126">
        <f t="shared" si="0"/>
        <v>620400</v>
      </c>
      <c r="I22" s="127">
        <v>23500</v>
      </c>
      <c r="J22" s="18">
        <v>1.32</v>
      </c>
    </row>
    <row r="23" spans="1:10" ht="15" x14ac:dyDescent="0.2">
      <c r="A23" s="228"/>
      <c r="B23" s="124" t="s">
        <v>783</v>
      </c>
      <c r="C23" s="124"/>
      <c r="D23" s="18"/>
      <c r="E23" s="18"/>
      <c r="F23" s="125">
        <f t="shared" si="1"/>
        <v>0</v>
      </c>
      <c r="G23" s="18">
        <v>1</v>
      </c>
      <c r="H23" s="126">
        <f t="shared" si="0"/>
        <v>0</v>
      </c>
      <c r="I23" s="127">
        <v>23500</v>
      </c>
      <c r="J23" s="18">
        <v>1.32</v>
      </c>
    </row>
    <row r="24" spans="1:10" ht="15.75" x14ac:dyDescent="0.25">
      <c r="A24" s="228"/>
      <c r="B24" s="123" t="s">
        <v>784</v>
      </c>
      <c r="C24" s="124">
        <v>250</v>
      </c>
      <c r="D24" s="18"/>
      <c r="E24" s="18">
        <v>250</v>
      </c>
      <c r="F24" s="125">
        <f t="shared" si="1"/>
        <v>7755000</v>
      </c>
      <c r="G24" s="18">
        <v>1</v>
      </c>
      <c r="H24" s="126">
        <f t="shared" si="0"/>
        <v>7755000</v>
      </c>
      <c r="I24" s="127">
        <v>23500</v>
      </c>
      <c r="J24" s="18">
        <v>1.32</v>
      </c>
    </row>
    <row r="25" spans="1:10" ht="15" x14ac:dyDescent="0.2">
      <c r="A25" s="228"/>
      <c r="B25" s="124" t="s">
        <v>751</v>
      </c>
      <c r="C25" s="124"/>
      <c r="D25" s="18"/>
      <c r="E25" s="18"/>
      <c r="F25" s="125">
        <f t="shared" si="1"/>
        <v>0</v>
      </c>
      <c r="G25" s="18">
        <v>1</v>
      </c>
      <c r="H25" s="126">
        <f t="shared" si="0"/>
        <v>0</v>
      </c>
      <c r="I25" s="127">
        <v>23500</v>
      </c>
      <c r="J25" s="18">
        <v>1.32</v>
      </c>
    </row>
    <row r="26" spans="1:10" ht="15.75" x14ac:dyDescent="0.25">
      <c r="A26" s="228"/>
      <c r="B26" s="128" t="s">
        <v>752</v>
      </c>
      <c r="C26" s="124">
        <v>30</v>
      </c>
      <c r="D26" s="18"/>
      <c r="E26" s="18">
        <v>30</v>
      </c>
      <c r="F26" s="125">
        <f t="shared" si="1"/>
        <v>930600</v>
      </c>
      <c r="G26" s="18">
        <v>1</v>
      </c>
      <c r="H26" s="126">
        <f t="shared" si="0"/>
        <v>930600</v>
      </c>
      <c r="I26" s="127">
        <v>23500</v>
      </c>
      <c r="J26" s="18">
        <v>1.32</v>
      </c>
    </row>
    <row r="27" spans="1:10" ht="15" x14ac:dyDescent="0.2">
      <c r="A27" s="228"/>
      <c r="B27" s="131" t="s">
        <v>753</v>
      </c>
      <c r="C27" s="124"/>
      <c r="D27" s="18"/>
      <c r="E27" s="18"/>
      <c r="F27" s="125">
        <f t="shared" si="1"/>
        <v>0</v>
      </c>
      <c r="G27" s="18">
        <v>1</v>
      </c>
      <c r="H27" s="126">
        <f t="shared" si="0"/>
        <v>0</v>
      </c>
      <c r="I27" s="127">
        <v>23500</v>
      </c>
      <c r="J27" s="18">
        <v>1.32</v>
      </c>
    </row>
    <row r="28" spans="1:10" ht="15" x14ac:dyDescent="0.25">
      <c r="A28" s="228"/>
      <c r="B28" s="18"/>
      <c r="C28" s="18"/>
      <c r="D28" s="18"/>
      <c r="E28" s="18"/>
      <c r="F28" s="18"/>
      <c r="G28" s="18"/>
      <c r="H28" s="132">
        <f>SUM(H16:H26)</f>
        <v>181373940</v>
      </c>
      <c r="I28" s="127"/>
      <c r="J28" s="18"/>
    </row>
    <row r="29" spans="1:10" x14ac:dyDescent="0.2">
      <c r="A29" s="228"/>
      <c r="B29" s="18" t="s">
        <v>785</v>
      </c>
      <c r="C29" s="18"/>
      <c r="D29" s="18"/>
      <c r="E29" s="18"/>
      <c r="F29" s="18"/>
      <c r="G29" s="18"/>
      <c r="H29" s="126">
        <v>18000000</v>
      </c>
      <c r="I29" s="127"/>
      <c r="J29" s="18"/>
    </row>
    <row r="30" spans="1:10" x14ac:dyDescent="0.2">
      <c r="A30" s="228"/>
      <c r="B30" s="18" t="s">
        <v>787</v>
      </c>
      <c r="C30" s="18"/>
      <c r="D30" s="18"/>
      <c r="E30" s="18"/>
      <c r="F30" s="18"/>
      <c r="G30" s="18"/>
      <c r="H30" s="126">
        <f>SUM(H28:H29)</f>
        <v>199373940</v>
      </c>
      <c r="I30" s="127"/>
      <c r="J30" s="18"/>
    </row>
  </sheetData>
  <mergeCells count="7">
    <mergeCell ref="B21:C21"/>
    <mergeCell ref="A16:A30"/>
    <mergeCell ref="F8:F9"/>
    <mergeCell ref="F10:F11"/>
    <mergeCell ref="F12:F13"/>
    <mergeCell ref="F14:F15"/>
    <mergeCell ref="B17:C1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6"/>
  <sheetViews>
    <sheetView workbookViewId="0">
      <selection activeCell="D8" sqref="D8"/>
    </sheetView>
  </sheetViews>
  <sheetFormatPr defaultColWidth="8.875" defaultRowHeight="14.25" x14ac:dyDescent="0.2"/>
  <cols>
    <col min="2" max="2" width="16.375" customWidth="1"/>
    <col min="3" max="3" width="14.375" customWidth="1"/>
    <col min="4" max="4" width="21.375" customWidth="1"/>
    <col min="5" max="5" width="15.5" customWidth="1"/>
  </cols>
  <sheetData>
    <row r="2" spans="2:5" x14ac:dyDescent="0.2">
      <c r="B2" t="s">
        <v>251</v>
      </c>
      <c r="C2" t="s">
        <v>252</v>
      </c>
      <c r="D2" t="s">
        <v>32</v>
      </c>
      <c r="E2" t="s">
        <v>255</v>
      </c>
    </row>
    <row r="3" spans="2:5" x14ac:dyDescent="0.2">
      <c r="B3" t="s">
        <v>253</v>
      </c>
      <c r="C3" t="s">
        <v>254</v>
      </c>
      <c r="D3" s="20" t="s">
        <v>248</v>
      </c>
      <c r="E3" t="s">
        <v>256</v>
      </c>
    </row>
    <row r="4" spans="2:5" x14ac:dyDescent="0.2">
      <c r="B4" t="s">
        <v>269</v>
      </c>
      <c r="C4" t="s">
        <v>270</v>
      </c>
      <c r="D4" s="20" t="s">
        <v>271</v>
      </c>
      <c r="E4" t="s">
        <v>257</v>
      </c>
    </row>
    <row r="5" spans="2:5" x14ac:dyDescent="0.2">
      <c r="B5" t="s">
        <v>739</v>
      </c>
      <c r="C5" s="80" t="s">
        <v>740</v>
      </c>
      <c r="D5" s="20" t="s">
        <v>741</v>
      </c>
      <c r="E5" t="s">
        <v>742</v>
      </c>
    </row>
    <row r="6" spans="2:5" x14ac:dyDescent="0.2">
      <c r="B6" t="s">
        <v>802</v>
      </c>
      <c r="C6" s="80" t="s">
        <v>803</v>
      </c>
      <c r="D6" s="80" t="s">
        <v>804</v>
      </c>
      <c r="E6" t="s">
        <v>258</v>
      </c>
    </row>
    <row r="7" spans="2:5" x14ac:dyDescent="0.2">
      <c r="B7" t="s">
        <v>842</v>
      </c>
      <c r="C7" t="s">
        <v>843</v>
      </c>
      <c r="D7" s="20" t="s">
        <v>844</v>
      </c>
      <c r="E7" t="s">
        <v>259</v>
      </c>
    </row>
    <row r="8" spans="2:5" x14ac:dyDescent="0.2">
      <c r="E8" t="s">
        <v>260</v>
      </c>
    </row>
    <row r="9" spans="2:5" x14ac:dyDescent="0.2">
      <c r="E9" t="s">
        <v>261</v>
      </c>
    </row>
    <row r="10" spans="2:5" x14ac:dyDescent="0.2">
      <c r="E10" t="s">
        <v>262</v>
      </c>
    </row>
    <row r="11" spans="2:5" x14ac:dyDescent="0.2">
      <c r="E11" t="s">
        <v>263</v>
      </c>
    </row>
    <row r="12" spans="2:5" x14ac:dyDescent="0.2">
      <c r="E12" t="s">
        <v>264</v>
      </c>
    </row>
    <row r="13" spans="2:5" x14ac:dyDescent="0.2">
      <c r="E13" t="s">
        <v>265</v>
      </c>
    </row>
    <row r="14" spans="2:5" x14ac:dyDescent="0.2">
      <c r="E14" t="s">
        <v>266</v>
      </c>
    </row>
    <row r="15" spans="2:5" x14ac:dyDescent="0.2">
      <c r="E15" t="s">
        <v>267</v>
      </c>
    </row>
    <row r="16" spans="2:5" x14ac:dyDescent="0.2">
      <c r="E16" t="s">
        <v>268</v>
      </c>
    </row>
  </sheetData>
  <hyperlinks>
    <hyperlink ref="D3" r:id="rId1"/>
    <hyperlink ref="D4" r:id="rId2"/>
    <hyperlink ref="D5" r:id="rId3"/>
    <hyperlink ref="D7" r:id="rId4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15"/>
  <sheetViews>
    <sheetView workbookViewId="0">
      <selection activeCell="B4" sqref="B4"/>
    </sheetView>
  </sheetViews>
  <sheetFormatPr defaultColWidth="9.125" defaultRowHeight="15.75" x14ac:dyDescent="0.25"/>
  <cols>
    <col min="1" max="1" width="9.125" style="4"/>
    <col min="2" max="2" width="87.625" style="4" customWidth="1"/>
    <col min="3" max="3" width="9.125" style="4"/>
    <col min="4" max="4" width="75.5" style="4" customWidth="1"/>
    <col min="5" max="16384" width="9.125" style="4"/>
  </cols>
  <sheetData>
    <row r="2" spans="2:12" ht="18.75" x14ac:dyDescent="0.3">
      <c r="B2" s="1" t="s">
        <v>11</v>
      </c>
      <c r="C2" s="2"/>
      <c r="D2" s="2" t="s">
        <v>15</v>
      </c>
      <c r="E2" s="2"/>
      <c r="F2" s="2"/>
      <c r="G2" s="2"/>
      <c r="H2" s="2"/>
      <c r="I2" s="2"/>
      <c r="J2" s="2"/>
      <c r="K2" s="2"/>
      <c r="L2" s="3"/>
    </row>
    <row r="3" spans="2:12" ht="30" customHeight="1" x14ac:dyDescent="0.25">
      <c r="B3" s="5" t="s">
        <v>832</v>
      </c>
      <c r="C3" s="6"/>
      <c r="D3" s="12" t="s">
        <v>16</v>
      </c>
      <c r="E3" s="6"/>
      <c r="F3" s="6"/>
      <c r="G3" s="6"/>
      <c r="H3" s="6"/>
      <c r="I3" s="6"/>
      <c r="J3" s="6"/>
      <c r="K3" s="6"/>
      <c r="L3" s="7"/>
    </row>
    <row r="4" spans="2:12" ht="30" customHeight="1" x14ac:dyDescent="0.25">
      <c r="B4" s="8" t="s">
        <v>827</v>
      </c>
      <c r="C4" s="9"/>
      <c r="D4" s="12" t="s">
        <v>17</v>
      </c>
      <c r="E4" s="9"/>
      <c r="F4" s="9"/>
      <c r="G4" s="9"/>
      <c r="H4" s="9"/>
      <c r="I4" s="9"/>
      <c r="J4" s="9"/>
      <c r="K4" s="9"/>
      <c r="L4" s="10"/>
    </row>
    <row r="5" spans="2:12" ht="30" customHeight="1" x14ac:dyDescent="0.25">
      <c r="B5" s="11" t="s">
        <v>12</v>
      </c>
    </row>
    <row r="6" spans="2:12" ht="30" customHeight="1" x14ac:dyDescent="0.25">
      <c r="B6" s="12" t="s">
        <v>13</v>
      </c>
    </row>
    <row r="7" spans="2:12" ht="52.5" customHeight="1" x14ac:dyDescent="0.25">
      <c r="B7" s="12" t="s">
        <v>14</v>
      </c>
    </row>
    <row r="8" spans="2:12" ht="30" customHeight="1" x14ac:dyDescent="0.25">
      <c r="B8" s="12"/>
    </row>
    <row r="10" spans="2:12" x14ac:dyDescent="0.25">
      <c r="B10" s="13" t="s">
        <v>18</v>
      </c>
    </row>
    <row r="11" spans="2:12" ht="45" customHeight="1" x14ac:dyDescent="0.25">
      <c r="B11" s="14" t="s">
        <v>19</v>
      </c>
    </row>
    <row r="12" spans="2:12" ht="45" customHeight="1" x14ac:dyDescent="0.25">
      <c r="B12" s="14" t="s">
        <v>806</v>
      </c>
    </row>
    <row r="13" spans="2:12" ht="45" customHeight="1" x14ac:dyDescent="0.25">
      <c r="B13" s="14" t="s">
        <v>20</v>
      </c>
    </row>
    <row r="14" spans="2:12" ht="45" customHeight="1" x14ac:dyDescent="0.25">
      <c r="B14" s="14" t="s">
        <v>21</v>
      </c>
    </row>
    <row r="15" spans="2:12" ht="45" customHeight="1" x14ac:dyDescent="0.25">
      <c r="B15" s="14" t="s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5"/>
  <sheetViews>
    <sheetView topLeftCell="A90" workbookViewId="0">
      <selection activeCell="B102" sqref="B102"/>
    </sheetView>
  </sheetViews>
  <sheetFormatPr defaultColWidth="9.125" defaultRowHeight="14.25" x14ac:dyDescent="0.2"/>
  <cols>
    <col min="1" max="1" width="9.125" style="15"/>
    <col min="2" max="2" width="24.125" style="15" customWidth="1"/>
    <col min="3" max="3" width="17.5" style="15" bestFit="1" customWidth="1"/>
    <col min="4" max="4" width="41.5" style="15" customWidth="1"/>
    <col min="5" max="5" width="50.5" style="15" customWidth="1"/>
    <col min="6" max="6" width="18.5" style="65" customWidth="1"/>
    <col min="7" max="7" width="31.625" style="15" customWidth="1"/>
    <col min="8" max="8" width="20.875" style="18" customWidth="1"/>
    <col min="9" max="9" width="21.875" style="15" customWidth="1"/>
    <col min="10" max="16384" width="9.125" style="15"/>
  </cols>
  <sheetData>
    <row r="1" spans="1:9" ht="12.75" x14ac:dyDescent="0.2">
      <c r="A1" s="30" t="s">
        <v>26</v>
      </c>
      <c r="B1" s="31" t="s">
        <v>27</v>
      </c>
      <c r="C1" s="31" t="s">
        <v>28</v>
      </c>
      <c r="D1" s="31" t="s">
        <v>29</v>
      </c>
      <c r="E1" s="31" t="s">
        <v>30</v>
      </c>
      <c r="F1" s="32" t="s">
        <v>31</v>
      </c>
      <c r="G1" s="31" t="s">
        <v>32</v>
      </c>
      <c r="H1" s="31" t="s">
        <v>276</v>
      </c>
      <c r="I1" s="30" t="s">
        <v>33</v>
      </c>
    </row>
    <row r="2" spans="1:9" s="64" customFormat="1" ht="26.1" customHeight="1" x14ac:dyDescent="0.2">
      <c r="A2" s="16">
        <v>15</v>
      </c>
      <c r="B2" s="33" t="s">
        <v>277</v>
      </c>
      <c r="C2" s="34" t="s">
        <v>278</v>
      </c>
      <c r="D2" s="34" t="s">
        <v>279</v>
      </c>
      <c r="E2" s="34" t="s">
        <v>280</v>
      </c>
      <c r="F2" s="35">
        <v>963285594</v>
      </c>
      <c r="G2" s="36" t="s">
        <v>281</v>
      </c>
      <c r="H2" s="16">
        <f>A2</f>
        <v>15</v>
      </c>
      <c r="I2" s="33"/>
    </row>
    <row r="3" spans="1:9" s="64" customFormat="1" ht="26.1" customHeight="1" x14ac:dyDescent="0.2">
      <c r="A3" s="16">
        <v>44</v>
      </c>
      <c r="B3" s="33" t="s">
        <v>282</v>
      </c>
      <c r="C3" s="37" t="s">
        <v>38</v>
      </c>
      <c r="D3" s="37" t="s">
        <v>39</v>
      </c>
      <c r="E3" s="37" t="s">
        <v>40</v>
      </c>
      <c r="F3" s="38" t="s">
        <v>41</v>
      </c>
      <c r="G3" s="39" t="s">
        <v>283</v>
      </c>
      <c r="H3" s="16">
        <f t="shared" ref="H3:H66" si="0">A3</f>
        <v>44</v>
      </c>
      <c r="I3" s="33"/>
    </row>
    <row r="4" spans="1:9" s="64" customFormat="1" ht="26.1" customHeight="1" x14ac:dyDescent="0.2">
      <c r="A4" s="16">
        <v>39</v>
      </c>
      <c r="B4" s="33" t="s">
        <v>284</v>
      </c>
      <c r="C4" s="34" t="s">
        <v>285</v>
      </c>
      <c r="D4" s="34" t="s">
        <v>286</v>
      </c>
      <c r="E4" s="34"/>
      <c r="F4" s="40" t="s">
        <v>287</v>
      </c>
      <c r="G4" s="36" t="s">
        <v>288</v>
      </c>
      <c r="H4" s="16">
        <f t="shared" si="0"/>
        <v>39</v>
      </c>
      <c r="I4" s="33"/>
    </row>
    <row r="5" spans="1:9" s="64" customFormat="1" ht="43.5" customHeight="1" x14ac:dyDescent="0.2">
      <c r="A5" s="16">
        <v>10</v>
      </c>
      <c r="B5" s="33" t="s">
        <v>289</v>
      </c>
      <c r="C5" s="34" t="s">
        <v>290</v>
      </c>
      <c r="D5" s="34" t="s">
        <v>291</v>
      </c>
      <c r="E5" s="34" t="s">
        <v>292</v>
      </c>
      <c r="F5" s="35">
        <v>912347091</v>
      </c>
      <c r="G5" s="36" t="s">
        <v>293</v>
      </c>
      <c r="H5" s="16">
        <f t="shared" si="0"/>
        <v>10</v>
      </c>
      <c r="I5" s="33"/>
    </row>
    <row r="6" spans="1:9" s="64" customFormat="1" ht="26.1" customHeight="1" x14ac:dyDescent="0.2">
      <c r="A6" s="16">
        <v>20</v>
      </c>
      <c r="B6" s="33" t="s">
        <v>294</v>
      </c>
      <c r="C6" s="34" t="s">
        <v>295</v>
      </c>
      <c r="D6" s="34" t="s">
        <v>296</v>
      </c>
      <c r="E6" s="34" t="s">
        <v>297</v>
      </c>
      <c r="F6" s="35" t="s">
        <v>298</v>
      </c>
      <c r="G6" s="36" t="s">
        <v>299</v>
      </c>
      <c r="H6" s="16">
        <f t="shared" si="0"/>
        <v>20</v>
      </c>
      <c r="I6" s="33"/>
    </row>
    <row r="7" spans="1:9" s="64" customFormat="1" ht="26.1" customHeight="1" x14ac:dyDescent="0.2">
      <c r="A7" s="16">
        <v>31</v>
      </c>
      <c r="B7" s="33" t="s">
        <v>300</v>
      </c>
      <c r="C7" s="34" t="s">
        <v>93</v>
      </c>
      <c r="D7" s="34" t="s">
        <v>301</v>
      </c>
      <c r="E7" s="34" t="s">
        <v>302</v>
      </c>
      <c r="F7" s="35">
        <v>904999549</v>
      </c>
      <c r="G7" s="36" t="s">
        <v>303</v>
      </c>
      <c r="H7" s="16">
        <f t="shared" si="0"/>
        <v>31</v>
      </c>
      <c r="I7" s="33"/>
    </row>
    <row r="8" spans="1:9" s="64" customFormat="1" ht="26.1" customHeight="1" x14ac:dyDescent="0.2">
      <c r="A8" s="16">
        <v>83</v>
      </c>
      <c r="B8" s="41" t="s">
        <v>304</v>
      </c>
      <c r="C8" s="42" t="s">
        <v>164</v>
      </c>
      <c r="D8" s="42" t="s">
        <v>165</v>
      </c>
      <c r="E8" s="42" t="s">
        <v>166</v>
      </c>
      <c r="F8" s="43" t="s">
        <v>305</v>
      </c>
      <c r="G8" s="39" t="s">
        <v>167</v>
      </c>
      <c r="H8" s="16">
        <f t="shared" si="0"/>
        <v>83</v>
      </c>
      <c r="I8" s="33"/>
    </row>
    <row r="9" spans="1:9" s="64" customFormat="1" ht="26.1" customHeight="1" x14ac:dyDescent="0.2">
      <c r="A9" s="16">
        <v>130</v>
      </c>
      <c r="B9" s="33" t="s">
        <v>306</v>
      </c>
      <c r="C9" s="37" t="s">
        <v>175</v>
      </c>
      <c r="D9" s="44" t="s">
        <v>307</v>
      </c>
      <c r="E9" s="37" t="s">
        <v>43</v>
      </c>
      <c r="F9" s="45"/>
      <c r="G9" s="39" t="s">
        <v>308</v>
      </c>
      <c r="H9" s="16">
        <f t="shared" si="0"/>
        <v>130</v>
      </c>
      <c r="I9" s="33"/>
    </row>
    <row r="10" spans="1:9" s="64" customFormat="1" ht="26.1" customHeight="1" x14ac:dyDescent="0.2">
      <c r="A10" s="16">
        <v>129</v>
      </c>
      <c r="B10" s="33" t="s">
        <v>309</v>
      </c>
      <c r="C10" s="37" t="s">
        <v>119</v>
      </c>
      <c r="D10" s="44" t="s">
        <v>307</v>
      </c>
      <c r="E10" s="37" t="s">
        <v>43</v>
      </c>
      <c r="F10" s="45" t="s">
        <v>310</v>
      </c>
      <c r="G10" s="39" t="s">
        <v>311</v>
      </c>
      <c r="H10" s="16">
        <f t="shared" si="0"/>
        <v>129</v>
      </c>
      <c r="I10" s="33"/>
    </row>
    <row r="11" spans="1:9" s="64" customFormat="1" ht="26.1" customHeight="1" x14ac:dyDescent="0.2">
      <c r="A11" s="16">
        <v>102</v>
      </c>
      <c r="B11" s="33" t="s">
        <v>312</v>
      </c>
      <c r="C11" s="37" t="s">
        <v>142</v>
      </c>
      <c r="D11" s="37" t="s">
        <v>228</v>
      </c>
      <c r="E11" s="37" t="s">
        <v>229</v>
      </c>
      <c r="F11" s="45" t="s">
        <v>230</v>
      </c>
      <c r="G11" s="46"/>
      <c r="H11" s="16">
        <f t="shared" si="0"/>
        <v>102</v>
      </c>
      <c r="I11" s="33"/>
    </row>
    <row r="12" spans="1:9" s="64" customFormat="1" ht="26.1" customHeight="1" x14ac:dyDescent="0.2">
      <c r="A12" s="16">
        <v>93</v>
      </c>
      <c r="B12" s="33" t="s">
        <v>313</v>
      </c>
      <c r="C12" s="42" t="s">
        <v>197</v>
      </c>
      <c r="D12" s="42" t="s">
        <v>198</v>
      </c>
      <c r="E12" s="42" t="s">
        <v>199</v>
      </c>
      <c r="F12" s="42"/>
      <c r="G12" s="39" t="s">
        <v>200</v>
      </c>
      <c r="H12" s="16">
        <f t="shared" si="0"/>
        <v>93</v>
      </c>
      <c r="I12" s="33"/>
    </row>
    <row r="13" spans="1:9" s="64" customFormat="1" ht="26.1" customHeight="1" x14ac:dyDescent="0.2">
      <c r="A13" s="16">
        <v>89</v>
      </c>
      <c r="B13" s="41" t="s">
        <v>314</v>
      </c>
      <c r="C13" s="42" t="s">
        <v>187</v>
      </c>
      <c r="D13" s="42" t="s">
        <v>188</v>
      </c>
      <c r="E13" s="42" t="s">
        <v>189</v>
      </c>
      <c r="F13" s="42" t="s">
        <v>315</v>
      </c>
      <c r="G13" s="39" t="s">
        <v>190</v>
      </c>
      <c r="H13" s="16">
        <f t="shared" si="0"/>
        <v>89</v>
      </c>
      <c r="I13" s="33"/>
    </row>
    <row r="14" spans="1:9" s="64" customFormat="1" ht="26.1" customHeight="1" x14ac:dyDescent="0.2">
      <c r="A14" s="16">
        <v>120</v>
      </c>
      <c r="B14" s="33" t="s">
        <v>316</v>
      </c>
      <c r="C14" s="37" t="s">
        <v>317</v>
      </c>
      <c r="D14" s="37" t="s">
        <v>318</v>
      </c>
      <c r="E14" s="37"/>
      <c r="F14" s="45"/>
      <c r="G14" s="39" t="s">
        <v>319</v>
      </c>
      <c r="H14" s="16">
        <f t="shared" si="0"/>
        <v>120</v>
      </c>
      <c r="I14" s="33"/>
    </row>
    <row r="15" spans="1:9" s="64" customFormat="1" ht="26.1" customHeight="1" x14ac:dyDescent="0.2">
      <c r="A15" s="16">
        <v>138</v>
      </c>
      <c r="B15" s="33" t="s">
        <v>320</v>
      </c>
      <c r="C15" s="37" t="s">
        <v>321</v>
      </c>
      <c r="D15" s="37" t="s">
        <v>322</v>
      </c>
      <c r="E15" s="37" t="s">
        <v>323</v>
      </c>
      <c r="F15" s="38" t="s">
        <v>324</v>
      </c>
      <c r="G15" s="39" t="s">
        <v>325</v>
      </c>
      <c r="H15" s="16">
        <f t="shared" si="0"/>
        <v>138</v>
      </c>
      <c r="I15" s="33"/>
    </row>
    <row r="16" spans="1:9" s="64" customFormat="1" ht="33" customHeight="1" x14ac:dyDescent="0.2">
      <c r="A16" s="16">
        <v>128</v>
      </c>
      <c r="B16" s="33" t="s">
        <v>326</v>
      </c>
      <c r="C16" s="37" t="s">
        <v>51</v>
      </c>
      <c r="D16" s="37" t="s">
        <v>327</v>
      </c>
      <c r="E16" s="37" t="s">
        <v>328</v>
      </c>
      <c r="F16" s="47" t="s">
        <v>329</v>
      </c>
      <c r="G16" s="46" t="s">
        <v>330</v>
      </c>
      <c r="H16" s="16">
        <f t="shared" si="0"/>
        <v>128</v>
      </c>
      <c r="I16" s="33"/>
    </row>
    <row r="17" spans="1:9" s="64" customFormat="1" ht="26.1" customHeight="1" x14ac:dyDescent="0.2">
      <c r="A17" s="16">
        <v>12</v>
      </c>
      <c r="B17" s="33" t="s">
        <v>331</v>
      </c>
      <c r="C17" s="34" t="s">
        <v>332</v>
      </c>
      <c r="D17" s="34" t="s">
        <v>333</v>
      </c>
      <c r="E17" s="34" t="s">
        <v>334</v>
      </c>
      <c r="F17" s="35" t="s">
        <v>335</v>
      </c>
      <c r="G17" s="36" t="s">
        <v>336</v>
      </c>
      <c r="H17" s="16">
        <f t="shared" si="0"/>
        <v>12</v>
      </c>
      <c r="I17" s="33"/>
    </row>
    <row r="18" spans="1:9" s="64" customFormat="1" ht="26.1" customHeight="1" x14ac:dyDescent="0.2">
      <c r="A18" s="16">
        <v>75</v>
      </c>
      <c r="B18" s="41" t="s">
        <v>337</v>
      </c>
      <c r="C18" s="42" t="s">
        <v>145</v>
      </c>
      <c r="D18" s="48" t="s">
        <v>143</v>
      </c>
      <c r="E18" s="42" t="s">
        <v>144</v>
      </c>
      <c r="F18" s="43" t="s">
        <v>338</v>
      </c>
      <c r="G18" s="46"/>
      <c r="H18" s="16">
        <f t="shared" si="0"/>
        <v>75</v>
      </c>
      <c r="I18" s="33"/>
    </row>
    <row r="19" spans="1:9" s="64" customFormat="1" ht="26.1" customHeight="1" x14ac:dyDescent="0.2">
      <c r="A19" s="16">
        <v>74</v>
      </c>
      <c r="B19" s="41" t="s">
        <v>339</v>
      </c>
      <c r="C19" s="42" t="s">
        <v>142</v>
      </c>
      <c r="D19" s="48" t="s">
        <v>143</v>
      </c>
      <c r="E19" s="42" t="s">
        <v>144</v>
      </c>
      <c r="F19" s="43" t="s">
        <v>340</v>
      </c>
      <c r="G19" s="39" t="s">
        <v>341</v>
      </c>
      <c r="H19" s="16">
        <f t="shared" si="0"/>
        <v>74</v>
      </c>
      <c r="I19" s="33"/>
    </row>
    <row r="20" spans="1:9" s="64" customFormat="1" ht="26.1" customHeight="1" x14ac:dyDescent="0.2">
      <c r="A20" s="16">
        <v>7</v>
      </c>
      <c r="B20" s="33" t="s">
        <v>342</v>
      </c>
      <c r="C20" s="34" t="s">
        <v>343</v>
      </c>
      <c r="D20" s="34" t="s">
        <v>344</v>
      </c>
      <c r="E20" s="34" t="s">
        <v>345</v>
      </c>
      <c r="F20" s="35">
        <v>975315099</v>
      </c>
      <c r="G20" s="46"/>
      <c r="H20" s="16">
        <f t="shared" si="0"/>
        <v>7</v>
      </c>
      <c r="I20" s="33"/>
    </row>
    <row r="21" spans="1:9" s="64" customFormat="1" ht="25.5" customHeight="1" x14ac:dyDescent="0.2">
      <c r="A21" s="16">
        <v>40</v>
      </c>
      <c r="B21" s="33" t="s">
        <v>346</v>
      </c>
      <c r="C21" s="34" t="s">
        <v>347</v>
      </c>
      <c r="D21" s="34" t="s">
        <v>348</v>
      </c>
      <c r="E21" s="49" t="s">
        <v>349</v>
      </c>
      <c r="F21" s="40" t="s">
        <v>350</v>
      </c>
      <c r="G21" s="36" t="s">
        <v>351</v>
      </c>
      <c r="H21" s="16">
        <f t="shared" si="0"/>
        <v>40</v>
      </c>
      <c r="I21" s="33"/>
    </row>
    <row r="22" spans="1:9" s="64" customFormat="1" ht="26.1" customHeight="1" x14ac:dyDescent="0.2">
      <c r="A22" s="16">
        <v>87</v>
      </c>
      <c r="B22" s="41" t="s">
        <v>352</v>
      </c>
      <c r="C22" s="42" t="s">
        <v>181</v>
      </c>
      <c r="D22" s="48" t="s">
        <v>176</v>
      </c>
      <c r="E22" s="42" t="s">
        <v>177</v>
      </c>
      <c r="F22" s="43" t="s">
        <v>182</v>
      </c>
      <c r="G22" s="46"/>
      <c r="H22" s="16">
        <f t="shared" si="0"/>
        <v>87</v>
      </c>
      <c r="I22" s="33"/>
    </row>
    <row r="23" spans="1:9" s="64" customFormat="1" ht="26.1" customHeight="1" x14ac:dyDescent="0.2">
      <c r="A23" s="16">
        <v>85</v>
      </c>
      <c r="B23" s="41" t="s">
        <v>353</v>
      </c>
      <c r="C23" s="42" t="s">
        <v>175</v>
      </c>
      <c r="D23" s="48" t="s">
        <v>176</v>
      </c>
      <c r="E23" s="42" t="s">
        <v>177</v>
      </c>
      <c r="F23" s="43" t="s">
        <v>354</v>
      </c>
      <c r="G23" s="39" t="s">
        <v>178</v>
      </c>
      <c r="H23" s="16">
        <f t="shared" si="0"/>
        <v>85</v>
      </c>
      <c r="I23" s="33"/>
    </row>
    <row r="24" spans="1:9" s="64" customFormat="1" ht="26.1" customHeight="1" x14ac:dyDescent="0.2">
      <c r="A24" s="16">
        <v>86</v>
      </c>
      <c r="B24" s="41" t="s">
        <v>355</v>
      </c>
      <c r="C24" s="42" t="s">
        <v>179</v>
      </c>
      <c r="D24" s="48" t="s">
        <v>176</v>
      </c>
      <c r="E24" s="42" t="s">
        <v>177</v>
      </c>
      <c r="F24" s="43" t="s">
        <v>356</v>
      </c>
      <c r="G24" s="39" t="s">
        <v>180</v>
      </c>
      <c r="H24" s="16">
        <f t="shared" si="0"/>
        <v>86</v>
      </c>
      <c r="I24" s="33"/>
    </row>
    <row r="25" spans="1:9" s="64" customFormat="1" ht="26.1" customHeight="1" x14ac:dyDescent="0.2">
      <c r="A25" s="16">
        <v>103</v>
      </c>
      <c r="B25" s="33" t="s">
        <v>357</v>
      </c>
      <c r="C25" s="37" t="s">
        <v>183</v>
      </c>
      <c r="D25" s="48" t="s">
        <v>172</v>
      </c>
      <c r="E25" s="42" t="s">
        <v>173</v>
      </c>
      <c r="F25" s="45" t="s">
        <v>358</v>
      </c>
      <c r="G25" s="46" t="s">
        <v>359</v>
      </c>
      <c r="H25" s="16">
        <f t="shared" si="0"/>
        <v>103</v>
      </c>
      <c r="I25" s="33"/>
    </row>
    <row r="26" spans="1:9" s="64" customFormat="1" ht="26.1" customHeight="1" x14ac:dyDescent="0.2">
      <c r="A26" s="16">
        <v>104</v>
      </c>
      <c r="B26" s="33" t="s">
        <v>360</v>
      </c>
      <c r="C26" s="37" t="s">
        <v>171</v>
      </c>
      <c r="D26" s="48" t="s">
        <v>172</v>
      </c>
      <c r="E26" s="42" t="s">
        <v>173</v>
      </c>
      <c r="F26" s="45"/>
      <c r="G26" s="46" t="s">
        <v>174</v>
      </c>
      <c r="H26" s="16">
        <f t="shared" si="0"/>
        <v>104</v>
      </c>
      <c r="I26" s="33"/>
    </row>
    <row r="27" spans="1:9" s="64" customFormat="1" ht="26.1" customHeight="1" x14ac:dyDescent="0.2">
      <c r="A27" s="16">
        <v>53</v>
      </c>
      <c r="B27" s="41" t="s">
        <v>361</v>
      </c>
      <c r="C27" s="37" t="s">
        <v>71</v>
      </c>
      <c r="D27" s="37" t="s">
        <v>72</v>
      </c>
      <c r="E27" s="37" t="s">
        <v>73</v>
      </c>
      <c r="F27" s="38" t="s">
        <v>74</v>
      </c>
      <c r="G27" s="46"/>
      <c r="H27" s="16">
        <f t="shared" si="0"/>
        <v>53</v>
      </c>
      <c r="I27" s="33"/>
    </row>
    <row r="28" spans="1:9" s="64" customFormat="1" ht="26.1" customHeight="1" x14ac:dyDescent="0.2">
      <c r="A28" s="16">
        <v>84</v>
      </c>
      <c r="B28" s="41" t="s">
        <v>362</v>
      </c>
      <c r="C28" s="42" t="s">
        <v>81</v>
      </c>
      <c r="D28" s="42" t="s">
        <v>168</v>
      </c>
      <c r="E28" s="42" t="s">
        <v>169</v>
      </c>
      <c r="F28" s="43" t="s">
        <v>363</v>
      </c>
      <c r="G28" s="39" t="s">
        <v>170</v>
      </c>
      <c r="H28" s="16">
        <f t="shared" si="0"/>
        <v>84</v>
      </c>
      <c r="I28" s="33"/>
    </row>
    <row r="29" spans="1:9" s="64" customFormat="1" ht="28.5" customHeight="1" x14ac:dyDescent="0.2">
      <c r="A29" s="16">
        <v>125</v>
      </c>
      <c r="B29" s="33" t="s">
        <v>364</v>
      </c>
      <c r="C29" s="37" t="s">
        <v>365</v>
      </c>
      <c r="D29" s="44" t="s">
        <v>366</v>
      </c>
      <c r="E29" s="37" t="s">
        <v>367</v>
      </c>
      <c r="F29" s="45" t="s">
        <v>368</v>
      </c>
      <c r="G29" s="39" t="s">
        <v>369</v>
      </c>
      <c r="H29" s="16">
        <f t="shared" si="0"/>
        <v>125</v>
      </c>
      <c r="I29" s="33"/>
    </row>
    <row r="30" spans="1:9" s="64" customFormat="1" ht="33.75" customHeight="1" x14ac:dyDescent="0.2">
      <c r="A30" s="16">
        <v>124</v>
      </c>
      <c r="B30" s="33" t="s">
        <v>370</v>
      </c>
      <c r="C30" s="37" t="s">
        <v>371</v>
      </c>
      <c r="D30" s="44" t="s">
        <v>366</v>
      </c>
      <c r="E30" s="37" t="s">
        <v>367</v>
      </c>
      <c r="F30" s="45" t="s">
        <v>372</v>
      </c>
      <c r="G30" s="39" t="s">
        <v>373</v>
      </c>
      <c r="H30" s="16">
        <f t="shared" si="0"/>
        <v>124</v>
      </c>
      <c r="I30" s="33"/>
    </row>
    <row r="31" spans="1:9" s="64" customFormat="1" ht="26.1" customHeight="1" x14ac:dyDescent="0.2">
      <c r="A31" s="16">
        <v>6</v>
      </c>
      <c r="B31" s="33" t="s">
        <v>374</v>
      </c>
      <c r="C31" s="34" t="s">
        <v>205</v>
      </c>
      <c r="D31" s="34" t="s">
        <v>375</v>
      </c>
      <c r="E31" s="34" t="s">
        <v>376</v>
      </c>
      <c r="F31" s="35">
        <v>942489129</v>
      </c>
      <c r="G31" s="36" t="s">
        <v>42</v>
      </c>
      <c r="H31" s="16">
        <f t="shared" si="0"/>
        <v>6</v>
      </c>
      <c r="I31" s="33"/>
    </row>
    <row r="32" spans="1:9" s="64" customFormat="1" ht="26.1" customHeight="1" x14ac:dyDescent="0.2">
      <c r="A32" s="16">
        <v>95</v>
      </c>
      <c r="B32" s="33" t="s">
        <v>377</v>
      </c>
      <c r="C32" s="37" t="s">
        <v>203</v>
      </c>
      <c r="D32" s="48" t="s">
        <v>202</v>
      </c>
      <c r="E32" s="42" t="s">
        <v>378</v>
      </c>
      <c r="F32" s="50" t="s">
        <v>204</v>
      </c>
      <c r="G32" s="46"/>
      <c r="H32" s="16">
        <f t="shared" si="0"/>
        <v>95</v>
      </c>
      <c r="I32" s="33"/>
    </row>
    <row r="33" spans="1:9" s="64" customFormat="1" ht="26.1" customHeight="1" x14ac:dyDescent="0.2">
      <c r="A33" s="16">
        <v>94</v>
      </c>
      <c r="B33" s="33" t="s">
        <v>379</v>
      </c>
      <c r="C33" s="51" t="s">
        <v>71</v>
      </c>
      <c r="D33" s="48" t="s">
        <v>202</v>
      </c>
      <c r="E33" s="42" t="s">
        <v>378</v>
      </c>
      <c r="F33" s="52" t="s">
        <v>380</v>
      </c>
      <c r="G33" s="39" t="s">
        <v>381</v>
      </c>
      <c r="H33" s="16">
        <f t="shared" si="0"/>
        <v>94</v>
      </c>
      <c r="I33" s="33"/>
    </row>
    <row r="34" spans="1:9" s="64" customFormat="1" ht="26.1" customHeight="1" x14ac:dyDescent="0.2">
      <c r="A34" s="16">
        <v>73</v>
      </c>
      <c r="B34" s="41" t="s">
        <v>382</v>
      </c>
      <c r="C34" s="42" t="s">
        <v>138</v>
      </c>
      <c r="D34" s="42" t="s">
        <v>139</v>
      </c>
      <c r="E34" s="42" t="s">
        <v>140</v>
      </c>
      <c r="F34" s="43" t="s">
        <v>383</v>
      </c>
      <c r="G34" s="39" t="s">
        <v>141</v>
      </c>
      <c r="H34" s="16">
        <f t="shared" si="0"/>
        <v>73</v>
      </c>
      <c r="I34" s="33"/>
    </row>
    <row r="35" spans="1:9" s="64" customFormat="1" ht="26.1" customHeight="1" x14ac:dyDescent="0.2">
      <c r="A35" s="16">
        <v>13</v>
      </c>
      <c r="B35" s="33" t="s">
        <v>384</v>
      </c>
      <c r="C35" s="34" t="s">
        <v>385</v>
      </c>
      <c r="D35" s="34" t="s">
        <v>386</v>
      </c>
      <c r="E35" s="34" t="s">
        <v>387</v>
      </c>
      <c r="F35" s="35" t="s">
        <v>388</v>
      </c>
      <c r="G35" s="36" t="s">
        <v>389</v>
      </c>
      <c r="H35" s="16">
        <f t="shared" si="0"/>
        <v>13</v>
      </c>
      <c r="I35" s="33"/>
    </row>
    <row r="36" spans="1:9" s="64" customFormat="1" ht="26.1" customHeight="1" x14ac:dyDescent="0.2">
      <c r="A36" s="16">
        <v>97</v>
      </c>
      <c r="B36" s="33" t="s">
        <v>390</v>
      </c>
      <c r="C36" s="37" t="s">
        <v>133</v>
      </c>
      <c r="D36" s="37" t="s">
        <v>210</v>
      </c>
      <c r="E36" s="37" t="s">
        <v>211</v>
      </c>
      <c r="F36" s="53" t="s">
        <v>212</v>
      </c>
      <c r="G36" s="46"/>
      <c r="H36" s="16">
        <f t="shared" si="0"/>
        <v>97</v>
      </c>
      <c r="I36" s="33" t="s">
        <v>223</v>
      </c>
    </row>
    <row r="37" spans="1:9" s="64" customFormat="1" ht="26.1" customHeight="1" x14ac:dyDescent="0.2">
      <c r="A37" s="16">
        <v>26</v>
      </c>
      <c r="B37" s="33" t="s">
        <v>391</v>
      </c>
      <c r="C37" s="34" t="s">
        <v>392</v>
      </c>
      <c r="D37" s="34" t="s">
        <v>393</v>
      </c>
      <c r="E37" s="34" t="s">
        <v>394</v>
      </c>
      <c r="F37" s="35" t="s">
        <v>395</v>
      </c>
      <c r="G37" s="36" t="s">
        <v>396</v>
      </c>
      <c r="H37" s="16">
        <f t="shared" si="0"/>
        <v>26</v>
      </c>
      <c r="I37" s="33"/>
    </row>
    <row r="38" spans="1:9" s="64" customFormat="1" ht="26.1" customHeight="1" x14ac:dyDescent="0.2">
      <c r="A38" s="16">
        <v>55</v>
      </c>
      <c r="B38" s="41" t="s">
        <v>397</v>
      </c>
      <c r="C38" s="37" t="s">
        <v>398</v>
      </c>
      <c r="D38" s="37" t="s">
        <v>79</v>
      </c>
      <c r="E38" s="37" t="s">
        <v>80</v>
      </c>
      <c r="F38" s="38" t="s">
        <v>399</v>
      </c>
      <c r="G38" s="39" t="s">
        <v>400</v>
      </c>
      <c r="H38" s="16">
        <f t="shared" si="0"/>
        <v>55</v>
      </c>
      <c r="I38" s="33"/>
    </row>
    <row r="39" spans="1:9" s="64" customFormat="1" ht="26.1" customHeight="1" x14ac:dyDescent="0.2">
      <c r="A39" s="16">
        <v>16</v>
      </c>
      <c r="B39" s="33" t="s">
        <v>401</v>
      </c>
      <c r="C39" s="34" t="s">
        <v>402</v>
      </c>
      <c r="D39" s="34" t="s">
        <v>403</v>
      </c>
      <c r="E39" s="34" t="s">
        <v>404</v>
      </c>
      <c r="F39" s="35">
        <v>974578205</v>
      </c>
      <c r="G39" s="36" t="s">
        <v>405</v>
      </c>
      <c r="H39" s="16">
        <f t="shared" si="0"/>
        <v>16</v>
      </c>
      <c r="I39" s="33"/>
    </row>
    <row r="40" spans="1:9" s="64" customFormat="1" ht="26.1" customHeight="1" x14ac:dyDescent="0.2">
      <c r="A40" s="16">
        <v>18</v>
      </c>
      <c r="B40" s="33" t="s">
        <v>406</v>
      </c>
      <c r="C40" s="34" t="s">
        <v>44</v>
      </c>
      <c r="D40" s="34" t="s">
        <v>407</v>
      </c>
      <c r="E40" s="34" t="s">
        <v>408</v>
      </c>
      <c r="F40" s="35" t="s">
        <v>409</v>
      </c>
      <c r="G40" s="36" t="s">
        <v>410</v>
      </c>
      <c r="H40" s="16">
        <f t="shared" si="0"/>
        <v>18</v>
      </c>
      <c r="I40" s="33"/>
    </row>
    <row r="41" spans="1:9" s="64" customFormat="1" ht="26.1" customHeight="1" x14ac:dyDescent="0.2">
      <c r="A41" s="16">
        <v>33</v>
      </c>
      <c r="B41" s="33" t="s">
        <v>411</v>
      </c>
      <c r="C41" s="34" t="s">
        <v>412</v>
      </c>
      <c r="D41" s="34" t="s">
        <v>413</v>
      </c>
      <c r="E41" s="34" t="s">
        <v>414</v>
      </c>
      <c r="F41" s="35">
        <v>963168307</v>
      </c>
      <c r="G41" s="54" t="s">
        <v>415</v>
      </c>
      <c r="H41" s="16">
        <f t="shared" si="0"/>
        <v>33</v>
      </c>
      <c r="I41" s="33"/>
    </row>
    <row r="42" spans="1:9" s="64" customFormat="1" ht="26.1" customHeight="1" x14ac:dyDescent="0.2">
      <c r="A42" s="16">
        <v>63</v>
      </c>
      <c r="B42" s="41" t="s">
        <v>416</v>
      </c>
      <c r="C42" s="42" t="s">
        <v>417</v>
      </c>
      <c r="D42" s="48" t="s">
        <v>103</v>
      </c>
      <c r="E42" s="42" t="s">
        <v>104</v>
      </c>
      <c r="F42" s="42" t="s">
        <v>418</v>
      </c>
      <c r="G42" s="39" t="s">
        <v>419</v>
      </c>
      <c r="H42" s="16">
        <f t="shared" si="0"/>
        <v>63</v>
      </c>
      <c r="I42" s="33"/>
    </row>
    <row r="43" spans="1:9" s="64" customFormat="1" ht="26.1" customHeight="1" x14ac:dyDescent="0.2">
      <c r="A43" s="16">
        <v>64</v>
      </c>
      <c r="B43" s="41" t="s">
        <v>420</v>
      </c>
      <c r="C43" s="42" t="s">
        <v>105</v>
      </c>
      <c r="D43" s="48" t="s">
        <v>103</v>
      </c>
      <c r="E43" s="42" t="s">
        <v>104</v>
      </c>
      <c r="F43" s="42" t="s">
        <v>421</v>
      </c>
      <c r="G43" s="39" t="s">
        <v>106</v>
      </c>
      <c r="H43" s="16">
        <f t="shared" si="0"/>
        <v>64</v>
      </c>
      <c r="I43" s="33"/>
    </row>
    <row r="44" spans="1:9" s="64" customFormat="1" ht="26.1" customHeight="1" x14ac:dyDescent="0.2">
      <c r="A44" s="16">
        <v>50</v>
      </c>
      <c r="B44" s="41" t="s">
        <v>422</v>
      </c>
      <c r="C44" s="37" t="s">
        <v>60</v>
      </c>
      <c r="D44" s="37" t="s">
        <v>61</v>
      </c>
      <c r="E44" s="37" t="s">
        <v>62</v>
      </c>
      <c r="F44" s="38" t="s">
        <v>63</v>
      </c>
      <c r="G44" s="39" t="s">
        <v>423</v>
      </c>
      <c r="H44" s="16">
        <f t="shared" si="0"/>
        <v>50</v>
      </c>
      <c r="I44" s="33"/>
    </row>
    <row r="45" spans="1:9" s="64" customFormat="1" ht="26.1" customHeight="1" x14ac:dyDescent="0.2">
      <c r="A45" s="16">
        <v>98</v>
      </c>
      <c r="B45" s="33" t="s">
        <v>424</v>
      </c>
      <c r="C45" s="37" t="s">
        <v>216</v>
      </c>
      <c r="D45" s="37" t="s">
        <v>217</v>
      </c>
      <c r="E45" s="37" t="s">
        <v>218</v>
      </c>
      <c r="F45" s="45" t="s">
        <v>219</v>
      </c>
      <c r="G45" s="39" t="s">
        <v>220</v>
      </c>
      <c r="H45" s="16">
        <f t="shared" si="0"/>
        <v>98</v>
      </c>
      <c r="I45" s="33"/>
    </row>
    <row r="46" spans="1:9" s="64" customFormat="1" ht="26.1" customHeight="1" x14ac:dyDescent="0.2">
      <c r="A46" s="16">
        <v>123</v>
      </c>
      <c r="B46" s="33" t="s">
        <v>425</v>
      </c>
      <c r="C46" s="37" t="s">
        <v>426</v>
      </c>
      <c r="D46" s="37" t="s">
        <v>427</v>
      </c>
      <c r="E46" s="37" t="s">
        <v>428</v>
      </c>
      <c r="F46" s="45" t="s">
        <v>429</v>
      </c>
      <c r="G46" s="39" t="s">
        <v>430</v>
      </c>
      <c r="H46" s="16">
        <f t="shared" si="0"/>
        <v>123</v>
      </c>
      <c r="I46" s="33"/>
    </row>
    <row r="47" spans="1:9" s="64" customFormat="1" ht="26.1" customHeight="1" x14ac:dyDescent="0.2">
      <c r="A47" s="16">
        <v>1</v>
      </c>
      <c r="B47" s="33" t="s">
        <v>431</v>
      </c>
      <c r="C47" s="34" t="s">
        <v>432</v>
      </c>
      <c r="D47" s="34" t="s">
        <v>433</v>
      </c>
      <c r="E47" s="34" t="s">
        <v>434</v>
      </c>
      <c r="F47" s="35">
        <v>972270708</v>
      </c>
      <c r="G47" s="36" t="s">
        <v>435</v>
      </c>
      <c r="H47" s="16">
        <f t="shared" si="0"/>
        <v>1</v>
      </c>
      <c r="I47" s="33"/>
    </row>
    <row r="48" spans="1:9" s="64" customFormat="1" ht="26.1" customHeight="1" x14ac:dyDescent="0.2">
      <c r="A48" s="16">
        <v>70</v>
      </c>
      <c r="B48" s="41" t="s">
        <v>436</v>
      </c>
      <c r="C48" s="42" t="s">
        <v>119</v>
      </c>
      <c r="D48" s="42" t="s">
        <v>126</v>
      </c>
      <c r="E48" s="42" t="s">
        <v>127</v>
      </c>
      <c r="F48" s="42" t="s">
        <v>437</v>
      </c>
      <c r="G48" s="39" t="s">
        <v>128</v>
      </c>
      <c r="H48" s="16">
        <f t="shared" si="0"/>
        <v>70</v>
      </c>
      <c r="I48" s="33"/>
    </row>
    <row r="49" spans="1:9" s="64" customFormat="1" ht="26.1" customHeight="1" x14ac:dyDescent="0.2">
      <c r="A49" s="16">
        <v>49</v>
      </c>
      <c r="B49" s="41" t="s">
        <v>438</v>
      </c>
      <c r="C49" s="37" t="s">
        <v>56</v>
      </c>
      <c r="D49" s="37" t="s">
        <v>57</v>
      </c>
      <c r="E49" s="37" t="s">
        <v>58</v>
      </c>
      <c r="F49" s="38" t="s">
        <v>59</v>
      </c>
      <c r="G49" s="46"/>
      <c r="H49" s="16">
        <f t="shared" si="0"/>
        <v>49</v>
      </c>
      <c r="I49" s="33"/>
    </row>
    <row r="50" spans="1:9" s="64" customFormat="1" ht="26.1" customHeight="1" x14ac:dyDescent="0.2">
      <c r="A50" s="16">
        <v>22</v>
      </c>
      <c r="B50" s="33" t="s">
        <v>439</v>
      </c>
      <c r="C50" s="34" t="s">
        <v>440</v>
      </c>
      <c r="D50" s="34" t="s">
        <v>441</v>
      </c>
      <c r="E50" s="34" t="s">
        <v>442</v>
      </c>
      <c r="F50" s="35" t="s">
        <v>443</v>
      </c>
      <c r="G50" s="36" t="s">
        <v>444</v>
      </c>
      <c r="H50" s="16">
        <f t="shared" si="0"/>
        <v>22</v>
      </c>
      <c r="I50" s="33"/>
    </row>
    <row r="51" spans="1:9" s="64" customFormat="1" ht="26.1" customHeight="1" x14ac:dyDescent="0.2">
      <c r="A51" s="16">
        <v>25</v>
      </c>
      <c r="B51" s="33" t="s">
        <v>445</v>
      </c>
      <c r="C51" s="34" t="s">
        <v>446</v>
      </c>
      <c r="D51" s="34" t="s">
        <v>447</v>
      </c>
      <c r="E51" s="34" t="s">
        <v>448</v>
      </c>
      <c r="F51" s="35">
        <v>976960666</v>
      </c>
      <c r="G51" s="36" t="s">
        <v>449</v>
      </c>
      <c r="H51" s="16">
        <f t="shared" si="0"/>
        <v>25</v>
      </c>
      <c r="I51" s="33"/>
    </row>
    <row r="52" spans="1:9" s="64" customFormat="1" ht="26.1" customHeight="1" x14ac:dyDescent="0.2">
      <c r="A52" s="16">
        <v>9</v>
      </c>
      <c r="B52" s="33" t="s">
        <v>450</v>
      </c>
      <c r="C52" s="34" t="s">
        <v>451</v>
      </c>
      <c r="D52" s="44" t="s">
        <v>452</v>
      </c>
      <c r="E52" s="37" t="s">
        <v>453</v>
      </c>
      <c r="F52" s="40" t="s">
        <v>454</v>
      </c>
      <c r="G52" s="36" t="s">
        <v>455</v>
      </c>
      <c r="H52" s="16">
        <f t="shared" si="0"/>
        <v>9</v>
      </c>
      <c r="I52" s="33"/>
    </row>
    <row r="53" spans="1:9" s="64" customFormat="1" ht="26.1" customHeight="1" x14ac:dyDescent="0.2">
      <c r="A53" s="16">
        <v>8</v>
      </c>
      <c r="B53" s="33" t="s">
        <v>456</v>
      </c>
      <c r="C53" s="37" t="s">
        <v>457</v>
      </c>
      <c r="D53" s="44" t="s">
        <v>452</v>
      </c>
      <c r="E53" s="37" t="s">
        <v>453</v>
      </c>
      <c r="F53" s="38" t="s">
        <v>458</v>
      </c>
      <c r="G53" s="39" t="s">
        <v>114</v>
      </c>
      <c r="H53" s="16">
        <f t="shared" si="0"/>
        <v>8</v>
      </c>
      <c r="I53" s="33"/>
    </row>
    <row r="54" spans="1:9" s="64" customFormat="1" ht="26.1" customHeight="1" x14ac:dyDescent="0.2">
      <c r="A54" s="16">
        <v>36</v>
      </c>
      <c r="B54" s="33" t="s">
        <v>459</v>
      </c>
      <c r="C54" s="34" t="s">
        <v>460</v>
      </c>
      <c r="D54" s="34" t="s">
        <v>461</v>
      </c>
      <c r="E54" s="49" t="s">
        <v>462</v>
      </c>
      <c r="F54" s="35" t="s">
        <v>463</v>
      </c>
      <c r="G54" s="46"/>
      <c r="H54" s="16">
        <f t="shared" si="0"/>
        <v>36</v>
      </c>
      <c r="I54" s="33"/>
    </row>
    <row r="55" spans="1:9" s="64" customFormat="1" ht="26.1" customHeight="1" x14ac:dyDescent="0.2">
      <c r="A55" s="16">
        <v>57</v>
      </c>
      <c r="B55" s="41" t="s">
        <v>464</v>
      </c>
      <c r="C55" s="37" t="s">
        <v>88</v>
      </c>
      <c r="D55" s="37" t="s">
        <v>89</v>
      </c>
      <c r="E55" s="37" t="s">
        <v>90</v>
      </c>
      <c r="F55" s="38" t="s">
        <v>91</v>
      </c>
      <c r="G55" s="39" t="s">
        <v>92</v>
      </c>
      <c r="H55" s="16">
        <f t="shared" si="0"/>
        <v>57</v>
      </c>
      <c r="I55" s="33"/>
    </row>
    <row r="56" spans="1:9" s="64" customFormat="1" ht="26.1" customHeight="1" x14ac:dyDescent="0.2">
      <c r="A56" s="16">
        <v>106</v>
      </c>
      <c r="B56" s="33" t="s">
        <v>465</v>
      </c>
      <c r="C56" s="37" t="s">
        <v>238</v>
      </c>
      <c r="D56" s="37" t="s">
        <v>239</v>
      </c>
      <c r="E56" s="37" t="s">
        <v>240</v>
      </c>
      <c r="F56" s="55" t="s">
        <v>241</v>
      </c>
      <c r="G56" s="46"/>
      <c r="H56" s="16">
        <f t="shared" si="0"/>
        <v>106</v>
      </c>
      <c r="I56" s="33"/>
    </row>
    <row r="57" spans="1:9" s="64" customFormat="1" ht="26.1" customHeight="1" x14ac:dyDescent="0.2">
      <c r="A57" s="16">
        <v>139</v>
      </c>
      <c r="B57" s="33" t="s">
        <v>466</v>
      </c>
      <c r="C57" s="37" t="s">
        <v>467</v>
      </c>
      <c r="D57" s="37" t="s">
        <v>468</v>
      </c>
      <c r="E57" s="37" t="s">
        <v>469</v>
      </c>
      <c r="F57" s="45" t="s">
        <v>470</v>
      </c>
      <c r="G57" s="39" t="s">
        <v>471</v>
      </c>
      <c r="H57" s="16">
        <f t="shared" si="0"/>
        <v>139</v>
      </c>
      <c r="I57" s="33"/>
    </row>
    <row r="58" spans="1:9" s="64" customFormat="1" ht="26.1" customHeight="1" x14ac:dyDescent="0.2">
      <c r="A58" s="16">
        <v>126</v>
      </c>
      <c r="B58" s="33" t="s">
        <v>472</v>
      </c>
      <c r="C58" s="37" t="s">
        <v>81</v>
      </c>
      <c r="D58" s="37" t="s">
        <v>473</v>
      </c>
      <c r="E58" s="37" t="s">
        <v>474</v>
      </c>
      <c r="F58" s="45"/>
      <c r="G58" s="46"/>
      <c r="H58" s="16">
        <f t="shared" si="0"/>
        <v>126</v>
      </c>
      <c r="I58" s="33"/>
    </row>
    <row r="59" spans="1:9" s="64" customFormat="1" ht="26.1" customHeight="1" x14ac:dyDescent="0.2">
      <c r="A59" s="16">
        <v>127</v>
      </c>
      <c r="B59" s="33" t="s">
        <v>475</v>
      </c>
      <c r="C59" s="37" t="s">
        <v>476</v>
      </c>
      <c r="D59" s="37" t="s">
        <v>477</v>
      </c>
      <c r="E59" s="37" t="s">
        <v>478</v>
      </c>
      <c r="F59" s="45" t="s">
        <v>479</v>
      </c>
      <c r="G59" s="56" t="s">
        <v>480</v>
      </c>
      <c r="H59" s="16">
        <f t="shared" si="0"/>
        <v>127</v>
      </c>
      <c r="I59" s="33"/>
    </row>
    <row r="60" spans="1:9" s="64" customFormat="1" ht="26.1" customHeight="1" x14ac:dyDescent="0.2">
      <c r="A60" s="16">
        <v>4</v>
      </c>
      <c r="B60" s="33" t="s">
        <v>481</v>
      </c>
      <c r="C60" s="34" t="s">
        <v>290</v>
      </c>
      <c r="D60" s="44" t="s">
        <v>82</v>
      </c>
      <c r="E60" s="34" t="s">
        <v>482</v>
      </c>
      <c r="F60" s="35">
        <v>912370863</v>
      </c>
      <c r="G60" s="36" t="s">
        <v>483</v>
      </c>
      <c r="H60" s="16">
        <f t="shared" si="0"/>
        <v>4</v>
      </c>
      <c r="I60" s="33"/>
    </row>
    <row r="61" spans="1:9" s="64" customFormat="1" ht="26.1" customHeight="1" x14ac:dyDescent="0.2">
      <c r="A61" s="16">
        <v>5</v>
      </c>
      <c r="B61" s="33" t="s">
        <v>484</v>
      </c>
      <c r="C61" s="37" t="s">
        <v>81</v>
      </c>
      <c r="D61" s="44" t="s">
        <v>82</v>
      </c>
      <c r="E61" s="37" t="s">
        <v>83</v>
      </c>
      <c r="F61" s="38" t="s">
        <v>84</v>
      </c>
      <c r="G61" s="46"/>
      <c r="H61" s="16">
        <f t="shared" si="0"/>
        <v>5</v>
      </c>
      <c r="I61" s="33"/>
    </row>
    <row r="62" spans="1:9" s="64" customFormat="1" ht="26.1" customHeight="1" x14ac:dyDescent="0.2">
      <c r="A62" s="16">
        <v>41</v>
      </c>
      <c r="B62" s="33" t="s">
        <v>485</v>
      </c>
      <c r="C62" s="34" t="s">
        <v>486</v>
      </c>
      <c r="D62" s="34" t="s">
        <v>487</v>
      </c>
      <c r="E62" s="34" t="s">
        <v>488</v>
      </c>
      <c r="F62" s="35" t="s">
        <v>489</v>
      </c>
      <c r="G62" s="36" t="s">
        <v>490</v>
      </c>
      <c r="H62" s="16">
        <f t="shared" si="0"/>
        <v>41</v>
      </c>
      <c r="I62" s="33"/>
    </row>
    <row r="63" spans="1:9" s="64" customFormat="1" ht="26.1" customHeight="1" x14ac:dyDescent="0.2">
      <c r="A63" s="16">
        <v>23</v>
      </c>
      <c r="B63" s="33" t="s">
        <v>491</v>
      </c>
      <c r="C63" s="34" t="s">
        <v>492</v>
      </c>
      <c r="D63" s="34" t="s">
        <v>493</v>
      </c>
      <c r="E63" s="34" t="s">
        <v>494</v>
      </c>
      <c r="F63" s="35" t="s">
        <v>495</v>
      </c>
      <c r="G63" s="36" t="s">
        <v>496</v>
      </c>
      <c r="H63" s="16">
        <f t="shared" si="0"/>
        <v>23</v>
      </c>
      <c r="I63" s="33"/>
    </row>
    <row r="64" spans="1:9" s="64" customFormat="1" ht="26.1" customHeight="1" x14ac:dyDescent="0.2">
      <c r="A64" s="16">
        <v>111</v>
      </c>
      <c r="B64" s="33" t="s">
        <v>497</v>
      </c>
      <c r="C64" s="37" t="s">
        <v>498</v>
      </c>
      <c r="D64" s="44" t="s">
        <v>213</v>
      </c>
      <c r="E64" s="37" t="s">
        <v>214</v>
      </c>
      <c r="F64" s="45" t="s">
        <v>499</v>
      </c>
      <c r="G64" s="39" t="s">
        <v>500</v>
      </c>
      <c r="H64" s="16">
        <f t="shared" si="0"/>
        <v>111</v>
      </c>
      <c r="I64" s="33"/>
    </row>
    <row r="65" spans="1:9" s="64" customFormat="1" ht="26.1" customHeight="1" x14ac:dyDescent="0.2">
      <c r="A65" s="16">
        <v>112</v>
      </c>
      <c r="B65" s="33" t="s">
        <v>501</v>
      </c>
      <c r="C65" s="37" t="s">
        <v>502</v>
      </c>
      <c r="D65" s="44" t="s">
        <v>213</v>
      </c>
      <c r="E65" s="37" t="s">
        <v>503</v>
      </c>
      <c r="F65" s="45" t="s">
        <v>504</v>
      </c>
      <c r="G65" s="39" t="s">
        <v>505</v>
      </c>
      <c r="H65" s="16">
        <f t="shared" si="0"/>
        <v>112</v>
      </c>
      <c r="I65" s="33"/>
    </row>
    <row r="66" spans="1:9" s="64" customFormat="1" ht="26.1" customHeight="1" x14ac:dyDescent="0.2">
      <c r="A66" s="16">
        <v>110</v>
      </c>
      <c r="B66" s="33" t="s">
        <v>506</v>
      </c>
      <c r="C66" s="37" t="s">
        <v>507</v>
      </c>
      <c r="D66" s="44" t="s">
        <v>213</v>
      </c>
      <c r="E66" s="37" t="s">
        <v>503</v>
      </c>
      <c r="F66" s="45"/>
      <c r="G66" s="39" t="s">
        <v>508</v>
      </c>
      <c r="H66" s="16">
        <f t="shared" si="0"/>
        <v>110</v>
      </c>
      <c r="I66" s="33"/>
    </row>
    <row r="67" spans="1:9" s="64" customFormat="1" ht="26.1" customHeight="1" x14ac:dyDescent="0.2">
      <c r="A67" s="16">
        <v>109</v>
      </c>
      <c r="B67" s="33" t="s">
        <v>509</v>
      </c>
      <c r="C67" s="37" t="s">
        <v>201</v>
      </c>
      <c r="D67" s="44" t="s">
        <v>213</v>
      </c>
      <c r="E67" s="37" t="s">
        <v>214</v>
      </c>
      <c r="F67" s="45" t="s">
        <v>215</v>
      </c>
      <c r="G67" s="39" t="s">
        <v>510</v>
      </c>
      <c r="H67" s="16">
        <f t="shared" ref="H67:H130" si="1">A67</f>
        <v>109</v>
      </c>
      <c r="I67" s="33"/>
    </row>
    <row r="68" spans="1:9" s="64" customFormat="1" ht="26.1" customHeight="1" x14ac:dyDescent="0.2">
      <c r="A68" s="16">
        <v>108</v>
      </c>
      <c r="B68" s="33" t="s">
        <v>511</v>
      </c>
      <c r="C68" s="37" t="s">
        <v>221</v>
      </c>
      <c r="D68" s="44" t="s">
        <v>213</v>
      </c>
      <c r="E68" s="37" t="s">
        <v>503</v>
      </c>
      <c r="F68" s="45" t="s">
        <v>222</v>
      </c>
      <c r="G68" s="39" t="s">
        <v>512</v>
      </c>
      <c r="H68" s="16">
        <f t="shared" si="1"/>
        <v>108</v>
      </c>
      <c r="I68" s="33"/>
    </row>
    <row r="69" spans="1:9" s="64" customFormat="1" ht="26.1" customHeight="1" x14ac:dyDescent="0.2">
      <c r="A69" s="16">
        <v>42</v>
      </c>
      <c r="B69" s="33" t="s">
        <v>513</v>
      </c>
      <c r="C69" s="34" t="s">
        <v>514</v>
      </c>
      <c r="D69" s="34" t="s">
        <v>515</v>
      </c>
      <c r="E69" s="34" t="s">
        <v>516</v>
      </c>
      <c r="F69" s="42" t="s">
        <v>517</v>
      </c>
      <c r="G69" s="36" t="s">
        <v>518</v>
      </c>
      <c r="H69" s="16">
        <f t="shared" si="1"/>
        <v>42</v>
      </c>
      <c r="I69" s="33"/>
    </row>
    <row r="70" spans="1:9" s="64" customFormat="1" ht="26.1" customHeight="1" x14ac:dyDescent="0.2">
      <c r="A70" s="16">
        <v>30</v>
      </c>
      <c r="B70" s="33" t="s">
        <v>519</v>
      </c>
      <c r="C70" s="34" t="s">
        <v>520</v>
      </c>
      <c r="D70" s="34" t="s">
        <v>521</v>
      </c>
      <c r="E70" s="34" t="s">
        <v>148</v>
      </c>
      <c r="F70" s="35" t="s">
        <v>522</v>
      </c>
      <c r="G70" s="36" t="s">
        <v>523</v>
      </c>
      <c r="H70" s="16">
        <f t="shared" si="1"/>
        <v>30</v>
      </c>
      <c r="I70" s="33"/>
    </row>
    <row r="71" spans="1:9" s="64" customFormat="1" ht="26.1" customHeight="1" x14ac:dyDescent="0.2">
      <c r="A71" s="16">
        <v>76</v>
      </c>
      <c r="B71" s="41" t="s">
        <v>524</v>
      </c>
      <c r="C71" s="42" t="s">
        <v>146</v>
      </c>
      <c r="D71" s="48" t="s">
        <v>147</v>
      </c>
      <c r="E71" s="42" t="s">
        <v>148</v>
      </c>
      <c r="F71" s="57" t="s">
        <v>525</v>
      </c>
      <c r="G71" s="46"/>
      <c r="H71" s="16">
        <f t="shared" si="1"/>
        <v>76</v>
      </c>
      <c r="I71" s="33"/>
    </row>
    <row r="72" spans="1:9" s="64" customFormat="1" ht="26.1" customHeight="1" x14ac:dyDescent="0.2">
      <c r="A72" s="16">
        <v>34</v>
      </c>
      <c r="B72" s="33" t="s">
        <v>526</v>
      </c>
      <c r="C72" s="34" t="s">
        <v>527</v>
      </c>
      <c r="D72" s="34" t="s">
        <v>528</v>
      </c>
      <c r="E72" s="49" t="s">
        <v>529</v>
      </c>
      <c r="F72" s="35" t="s">
        <v>530</v>
      </c>
      <c r="G72" s="54" t="s">
        <v>531</v>
      </c>
      <c r="H72" s="16">
        <f t="shared" si="1"/>
        <v>34</v>
      </c>
      <c r="I72" s="33"/>
    </row>
    <row r="73" spans="1:9" s="64" customFormat="1" ht="26.1" customHeight="1" x14ac:dyDescent="0.2">
      <c r="A73" s="16">
        <v>65</v>
      </c>
      <c r="B73" s="41" t="s">
        <v>532</v>
      </c>
      <c r="C73" s="42" t="s">
        <v>109</v>
      </c>
      <c r="D73" s="48" t="s">
        <v>110</v>
      </c>
      <c r="E73" s="42" t="s">
        <v>111</v>
      </c>
      <c r="F73" s="42" t="s">
        <v>533</v>
      </c>
      <c r="G73" s="46" t="s">
        <v>534</v>
      </c>
      <c r="H73" s="16">
        <f t="shared" si="1"/>
        <v>65</v>
      </c>
      <c r="I73" s="33"/>
    </row>
    <row r="74" spans="1:9" s="64" customFormat="1" ht="26.1" customHeight="1" x14ac:dyDescent="0.2">
      <c r="A74" s="16">
        <v>66</v>
      </c>
      <c r="B74" s="41" t="s">
        <v>535</v>
      </c>
      <c r="C74" s="42" t="s">
        <v>112</v>
      </c>
      <c r="D74" s="48" t="s">
        <v>110</v>
      </c>
      <c r="E74" s="42" t="s">
        <v>111</v>
      </c>
      <c r="F74" s="58" t="s">
        <v>536</v>
      </c>
      <c r="G74" s="39" t="s">
        <v>113</v>
      </c>
      <c r="H74" s="16">
        <f t="shared" si="1"/>
        <v>66</v>
      </c>
      <c r="I74" s="33"/>
    </row>
    <row r="75" spans="1:9" s="64" customFormat="1" ht="26.1" customHeight="1" x14ac:dyDescent="0.2">
      <c r="A75" s="16">
        <v>67</v>
      </c>
      <c r="B75" s="41" t="s">
        <v>537</v>
      </c>
      <c r="C75" s="42" t="s">
        <v>152</v>
      </c>
      <c r="D75" s="48" t="s">
        <v>110</v>
      </c>
      <c r="E75" s="42" t="s">
        <v>111</v>
      </c>
      <c r="F75" s="58" t="s">
        <v>538</v>
      </c>
      <c r="G75" s="39" t="s">
        <v>539</v>
      </c>
      <c r="H75" s="16">
        <f t="shared" si="1"/>
        <v>67</v>
      </c>
      <c r="I75" s="33"/>
    </row>
    <row r="76" spans="1:9" s="64" customFormat="1" ht="26.1" customHeight="1" x14ac:dyDescent="0.2">
      <c r="A76" s="16">
        <v>119</v>
      </c>
      <c r="B76" s="33" t="s">
        <v>540</v>
      </c>
      <c r="C76" s="37" t="s">
        <v>129</v>
      </c>
      <c r="D76" s="44" t="s">
        <v>231</v>
      </c>
      <c r="E76" s="37" t="s">
        <v>232</v>
      </c>
      <c r="F76" s="45" t="s">
        <v>233</v>
      </c>
      <c r="G76" s="46" t="s">
        <v>541</v>
      </c>
      <c r="H76" s="16">
        <f t="shared" si="1"/>
        <v>119</v>
      </c>
      <c r="I76" s="33"/>
    </row>
    <row r="77" spans="1:9" s="64" customFormat="1" ht="26.1" customHeight="1" x14ac:dyDescent="0.2">
      <c r="A77" s="16">
        <v>117</v>
      </c>
      <c r="B77" s="33" t="s">
        <v>542</v>
      </c>
      <c r="C77" s="37" t="s">
        <v>543</v>
      </c>
      <c r="D77" s="44" t="s">
        <v>231</v>
      </c>
      <c r="E77" s="37" t="s">
        <v>544</v>
      </c>
      <c r="F77" s="45" t="s">
        <v>545</v>
      </c>
      <c r="G77" s="39" t="s">
        <v>546</v>
      </c>
      <c r="H77" s="16">
        <f t="shared" si="1"/>
        <v>117</v>
      </c>
      <c r="I77" s="33"/>
    </row>
    <row r="78" spans="1:9" s="64" customFormat="1" ht="26.1" customHeight="1" x14ac:dyDescent="0.2">
      <c r="A78" s="16">
        <v>118</v>
      </c>
      <c r="B78" s="33" t="s">
        <v>547</v>
      </c>
      <c r="C78" s="37" t="s">
        <v>548</v>
      </c>
      <c r="D78" s="44" t="s">
        <v>231</v>
      </c>
      <c r="E78" s="37" t="s">
        <v>544</v>
      </c>
      <c r="F78" s="45" t="s">
        <v>549</v>
      </c>
      <c r="G78" s="39" t="s">
        <v>550</v>
      </c>
      <c r="H78" s="16">
        <f t="shared" si="1"/>
        <v>118</v>
      </c>
      <c r="I78" s="33"/>
    </row>
    <row r="79" spans="1:9" s="64" customFormat="1" ht="26.1" customHeight="1" x14ac:dyDescent="0.2">
      <c r="A79" s="16">
        <v>115</v>
      </c>
      <c r="B79" s="33" t="s">
        <v>551</v>
      </c>
      <c r="C79" s="37" t="s">
        <v>221</v>
      </c>
      <c r="D79" s="44" t="s">
        <v>231</v>
      </c>
      <c r="E79" s="37" t="s">
        <v>544</v>
      </c>
      <c r="F79" s="45" t="s">
        <v>552</v>
      </c>
      <c r="G79" s="39" t="s">
        <v>553</v>
      </c>
      <c r="H79" s="16">
        <f t="shared" si="1"/>
        <v>115</v>
      </c>
      <c r="I79" s="33"/>
    </row>
    <row r="80" spans="1:9" s="64" customFormat="1" ht="26.1" customHeight="1" x14ac:dyDescent="0.2">
      <c r="A80" s="16">
        <v>116</v>
      </c>
      <c r="B80" s="33" t="s">
        <v>554</v>
      </c>
      <c r="C80" s="37" t="s">
        <v>555</v>
      </c>
      <c r="D80" s="44" t="s">
        <v>231</v>
      </c>
      <c r="E80" s="37" t="s">
        <v>544</v>
      </c>
      <c r="F80" s="45" t="s">
        <v>556</v>
      </c>
      <c r="G80" s="46"/>
      <c r="H80" s="16">
        <f t="shared" si="1"/>
        <v>116</v>
      </c>
      <c r="I80" s="33"/>
    </row>
    <row r="81" spans="1:9" s="64" customFormat="1" ht="26.1" customHeight="1" x14ac:dyDescent="0.2">
      <c r="A81" s="16">
        <v>90</v>
      </c>
      <c r="B81" s="33" t="s">
        <v>557</v>
      </c>
      <c r="C81" s="42" t="s">
        <v>186</v>
      </c>
      <c r="D81" s="48" t="s">
        <v>558</v>
      </c>
      <c r="E81" s="42" t="s">
        <v>191</v>
      </c>
      <c r="F81" s="42" t="s">
        <v>559</v>
      </c>
      <c r="G81" s="39" t="s">
        <v>192</v>
      </c>
      <c r="H81" s="16">
        <f t="shared" si="1"/>
        <v>90</v>
      </c>
      <c r="I81" s="33"/>
    </row>
    <row r="82" spans="1:9" s="64" customFormat="1" ht="26.1" customHeight="1" x14ac:dyDescent="0.2">
      <c r="A82" s="16">
        <v>91</v>
      </c>
      <c r="B82" s="41" t="s">
        <v>560</v>
      </c>
      <c r="C82" s="42" t="s">
        <v>137</v>
      </c>
      <c r="D82" s="48" t="s">
        <v>558</v>
      </c>
      <c r="E82" s="42" t="s">
        <v>191</v>
      </c>
      <c r="F82" s="42" t="s">
        <v>561</v>
      </c>
      <c r="G82" s="39" t="s">
        <v>562</v>
      </c>
      <c r="H82" s="16">
        <f t="shared" si="1"/>
        <v>91</v>
      </c>
      <c r="I82" s="33"/>
    </row>
    <row r="83" spans="1:9" s="64" customFormat="1" ht="26.1" customHeight="1" x14ac:dyDescent="0.2">
      <c r="A83" s="16">
        <v>46</v>
      </c>
      <c r="B83" s="41" t="s">
        <v>563</v>
      </c>
      <c r="C83" s="37" t="s">
        <v>184</v>
      </c>
      <c r="D83" s="44" t="s">
        <v>564</v>
      </c>
      <c r="E83" s="59" t="s">
        <v>50</v>
      </c>
      <c r="F83" s="38" t="s">
        <v>565</v>
      </c>
      <c r="G83" s="39" t="s">
        <v>566</v>
      </c>
      <c r="H83" s="16">
        <f t="shared" si="1"/>
        <v>46</v>
      </c>
      <c r="I83" s="33"/>
    </row>
    <row r="84" spans="1:9" s="64" customFormat="1" ht="26.1" customHeight="1" x14ac:dyDescent="0.2">
      <c r="A84" s="16">
        <v>47</v>
      </c>
      <c r="B84" s="41" t="s">
        <v>567</v>
      </c>
      <c r="C84" s="37" t="s">
        <v>186</v>
      </c>
      <c r="D84" s="44" t="s">
        <v>564</v>
      </c>
      <c r="E84" s="59" t="s">
        <v>50</v>
      </c>
      <c r="F84" s="38" t="s">
        <v>568</v>
      </c>
      <c r="G84" s="39" t="s">
        <v>569</v>
      </c>
      <c r="H84" s="16">
        <f t="shared" si="1"/>
        <v>47</v>
      </c>
      <c r="I84" s="33"/>
    </row>
    <row r="85" spans="1:9" s="64" customFormat="1" ht="26.1" customHeight="1" x14ac:dyDescent="0.2">
      <c r="A85" s="16">
        <v>45</v>
      </c>
      <c r="B85" s="41" t="s">
        <v>570</v>
      </c>
      <c r="C85" s="37" t="s">
        <v>36</v>
      </c>
      <c r="D85" s="44" t="s">
        <v>564</v>
      </c>
      <c r="E85" s="59" t="s">
        <v>50</v>
      </c>
      <c r="F85" s="38" t="s">
        <v>571</v>
      </c>
      <c r="G85" s="39" t="s">
        <v>108</v>
      </c>
      <c r="H85" s="16">
        <f t="shared" si="1"/>
        <v>45</v>
      </c>
      <c r="I85" s="33"/>
    </row>
    <row r="86" spans="1:9" s="64" customFormat="1" ht="26.1" customHeight="1" x14ac:dyDescent="0.2">
      <c r="A86" s="16">
        <v>113</v>
      </c>
      <c r="B86" s="33" t="s">
        <v>572</v>
      </c>
      <c r="C86" s="37" t="s">
        <v>573</v>
      </c>
      <c r="D86" s="44" t="s">
        <v>574</v>
      </c>
      <c r="E86" s="37" t="s">
        <v>575</v>
      </c>
      <c r="F86" s="45" t="s">
        <v>576</v>
      </c>
      <c r="G86" s="39" t="s">
        <v>577</v>
      </c>
      <c r="H86" s="16">
        <f t="shared" si="1"/>
        <v>113</v>
      </c>
      <c r="I86" s="33"/>
    </row>
    <row r="87" spans="1:9" s="64" customFormat="1" ht="26.1" customHeight="1" x14ac:dyDescent="0.2">
      <c r="A87" s="16">
        <v>114</v>
      </c>
      <c r="B87" s="33" t="s">
        <v>578</v>
      </c>
      <c r="C87" s="37" t="s">
        <v>579</v>
      </c>
      <c r="D87" s="44" t="s">
        <v>574</v>
      </c>
      <c r="E87" s="37" t="s">
        <v>575</v>
      </c>
      <c r="F87" s="45" t="s">
        <v>580</v>
      </c>
      <c r="G87" s="39" t="s">
        <v>581</v>
      </c>
      <c r="H87" s="16">
        <f t="shared" si="1"/>
        <v>114</v>
      </c>
      <c r="I87" s="33"/>
    </row>
    <row r="88" spans="1:9" s="64" customFormat="1" ht="26.1" customHeight="1" x14ac:dyDescent="0.2">
      <c r="A88" s="16">
        <v>72</v>
      </c>
      <c r="B88" s="41" t="s">
        <v>582</v>
      </c>
      <c r="C88" s="42" t="s">
        <v>133</v>
      </c>
      <c r="D88" s="42" t="s">
        <v>134</v>
      </c>
      <c r="E88" s="42" t="s">
        <v>135</v>
      </c>
      <c r="F88" s="43" t="s">
        <v>583</v>
      </c>
      <c r="G88" s="39" t="s">
        <v>136</v>
      </c>
      <c r="H88" s="16">
        <f t="shared" si="1"/>
        <v>72</v>
      </c>
      <c r="I88" s="33"/>
    </row>
    <row r="89" spans="1:9" s="64" customFormat="1" ht="26.1" customHeight="1" x14ac:dyDescent="0.2">
      <c r="A89" s="16">
        <v>92</v>
      </c>
      <c r="B89" s="33" t="s">
        <v>584</v>
      </c>
      <c r="C89" s="42" t="s">
        <v>193</v>
      </c>
      <c r="D89" s="42" t="s">
        <v>194</v>
      </c>
      <c r="E89" s="42" t="s">
        <v>195</v>
      </c>
      <c r="F89" s="43" t="s">
        <v>585</v>
      </c>
      <c r="G89" s="39" t="s">
        <v>196</v>
      </c>
      <c r="H89" s="16">
        <f t="shared" si="1"/>
        <v>92</v>
      </c>
      <c r="I89" s="33"/>
    </row>
    <row r="90" spans="1:9" s="64" customFormat="1" ht="26.1" customHeight="1" x14ac:dyDescent="0.2">
      <c r="A90" s="16">
        <v>71</v>
      </c>
      <c r="B90" s="41" t="s">
        <v>586</v>
      </c>
      <c r="C90" s="42" t="s">
        <v>129</v>
      </c>
      <c r="D90" s="42" t="s">
        <v>130</v>
      </c>
      <c r="E90" s="42" t="s">
        <v>121</v>
      </c>
      <c r="F90" s="42" t="s">
        <v>131</v>
      </c>
      <c r="G90" s="39" t="s">
        <v>132</v>
      </c>
      <c r="H90" s="16">
        <f t="shared" si="1"/>
        <v>71</v>
      </c>
      <c r="I90" s="33"/>
    </row>
    <row r="91" spans="1:9" s="64" customFormat="1" ht="26.1" customHeight="1" x14ac:dyDescent="0.2">
      <c r="A91" s="16">
        <v>61</v>
      </c>
      <c r="B91" s="41" t="s">
        <v>587</v>
      </c>
      <c r="C91" s="42" t="s">
        <v>34</v>
      </c>
      <c r="D91" s="48" t="s">
        <v>588</v>
      </c>
      <c r="E91" s="42" t="s">
        <v>95</v>
      </c>
      <c r="F91" s="43" t="s">
        <v>35</v>
      </c>
      <c r="G91" s="46"/>
      <c r="H91" s="16">
        <f t="shared" si="1"/>
        <v>61</v>
      </c>
      <c r="I91" s="33"/>
    </row>
    <row r="92" spans="1:9" s="64" customFormat="1" ht="26.1" customHeight="1" x14ac:dyDescent="0.2">
      <c r="A92" s="16">
        <v>60</v>
      </c>
      <c r="B92" s="41" t="s">
        <v>589</v>
      </c>
      <c r="C92" s="42" t="s">
        <v>590</v>
      </c>
      <c r="D92" s="48" t="s">
        <v>588</v>
      </c>
      <c r="E92" s="42" t="s">
        <v>95</v>
      </c>
      <c r="F92" s="42" t="s">
        <v>591</v>
      </c>
      <c r="G92" s="39" t="s">
        <v>592</v>
      </c>
      <c r="H92" s="16">
        <f t="shared" si="1"/>
        <v>60</v>
      </c>
      <c r="I92" s="33"/>
    </row>
    <row r="93" spans="1:9" s="64" customFormat="1" ht="26.1" customHeight="1" x14ac:dyDescent="0.2">
      <c r="A93" s="16">
        <v>59</v>
      </c>
      <c r="B93" s="41" t="s">
        <v>593</v>
      </c>
      <c r="C93" s="42" t="s">
        <v>98</v>
      </c>
      <c r="D93" s="48" t="s">
        <v>588</v>
      </c>
      <c r="E93" s="42" t="s">
        <v>95</v>
      </c>
      <c r="F93" s="42" t="s">
        <v>99</v>
      </c>
      <c r="G93" s="39" t="s">
        <v>100</v>
      </c>
      <c r="H93" s="16">
        <f t="shared" si="1"/>
        <v>59</v>
      </c>
      <c r="I93" s="33"/>
    </row>
    <row r="94" spans="1:9" s="64" customFormat="1" ht="26.1" customHeight="1" x14ac:dyDescent="0.2">
      <c r="A94" s="16">
        <v>58</v>
      </c>
      <c r="B94" s="41" t="s">
        <v>594</v>
      </c>
      <c r="C94" s="42" t="s">
        <v>96</v>
      </c>
      <c r="D94" s="48" t="s">
        <v>588</v>
      </c>
      <c r="E94" s="42" t="s">
        <v>95</v>
      </c>
      <c r="F94" s="42" t="s">
        <v>97</v>
      </c>
      <c r="G94" s="46"/>
      <c r="H94" s="16">
        <f t="shared" si="1"/>
        <v>58</v>
      </c>
      <c r="I94" s="33"/>
    </row>
    <row r="95" spans="1:9" ht="12.75" x14ac:dyDescent="0.2">
      <c r="A95" s="16">
        <v>62</v>
      </c>
      <c r="B95" s="41" t="s">
        <v>595</v>
      </c>
      <c r="C95" s="42" t="s">
        <v>101</v>
      </c>
      <c r="D95" s="48" t="s">
        <v>588</v>
      </c>
      <c r="E95" s="42" t="s">
        <v>95</v>
      </c>
      <c r="F95" s="42" t="s">
        <v>596</v>
      </c>
      <c r="G95" s="39" t="s">
        <v>102</v>
      </c>
      <c r="H95" s="16">
        <f t="shared" si="1"/>
        <v>62</v>
      </c>
      <c r="I95" s="33"/>
    </row>
    <row r="96" spans="1:9" ht="12.75" x14ac:dyDescent="0.2">
      <c r="A96" s="16">
        <v>21</v>
      </c>
      <c r="B96" s="33" t="s">
        <v>597</v>
      </c>
      <c r="C96" s="34" t="s">
        <v>598</v>
      </c>
      <c r="D96" s="34" t="s">
        <v>599</v>
      </c>
      <c r="E96" s="34" t="s">
        <v>600</v>
      </c>
      <c r="F96" s="35">
        <v>974850726</v>
      </c>
      <c r="G96" s="36" t="s">
        <v>87</v>
      </c>
      <c r="H96" s="16">
        <f t="shared" si="1"/>
        <v>21</v>
      </c>
      <c r="I96" s="33"/>
    </row>
    <row r="97" spans="1:9" ht="24" x14ac:dyDescent="0.2">
      <c r="A97" s="16">
        <v>56</v>
      </c>
      <c r="B97" s="41" t="s">
        <v>601</v>
      </c>
      <c r="C97" s="37" t="s">
        <v>81</v>
      </c>
      <c r="D97" s="44" t="s">
        <v>85</v>
      </c>
      <c r="E97" s="37" t="s">
        <v>86</v>
      </c>
      <c r="F97" s="38" t="s">
        <v>602</v>
      </c>
      <c r="G97" s="39" t="s">
        <v>603</v>
      </c>
      <c r="H97" s="16">
        <f t="shared" si="1"/>
        <v>56</v>
      </c>
      <c r="I97" s="33"/>
    </row>
    <row r="98" spans="1:9" ht="24.75" customHeight="1" x14ac:dyDescent="0.2">
      <c r="A98" s="16">
        <v>43</v>
      </c>
      <c r="B98" s="33" t="s">
        <v>604</v>
      </c>
      <c r="C98" s="34" t="s">
        <v>605</v>
      </c>
      <c r="D98" s="34" t="s">
        <v>606</v>
      </c>
      <c r="E98" s="34" t="s">
        <v>607</v>
      </c>
      <c r="F98" s="42" t="s">
        <v>608</v>
      </c>
      <c r="G98" s="36" t="s">
        <v>609</v>
      </c>
      <c r="H98" s="16">
        <f t="shared" si="1"/>
        <v>43</v>
      </c>
      <c r="I98" s="33"/>
    </row>
    <row r="99" spans="1:9" ht="24" x14ac:dyDescent="0.2">
      <c r="A99" s="16">
        <v>17</v>
      </c>
      <c r="B99" s="33" t="s">
        <v>610</v>
      </c>
      <c r="C99" s="34" t="s">
        <v>611</v>
      </c>
      <c r="D99" s="34" t="s">
        <v>612</v>
      </c>
      <c r="E99" s="34" t="s">
        <v>613</v>
      </c>
      <c r="F99" s="35">
        <v>987784244</v>
      </c>
      <c r="G99" s="36" t="s">
        <v>614</v>
      </c>
      <c r="H99" s="16">
        <f t="shared" si="1"/>
        <v>17</v>
      </c>
      <c r="I99" s="33"/>
    </row>
    <row r="100" spans="1:9" ht="28.5" customHeight="1" x14ac:dyDescent="0.2">
      <c r="A100" s="16">
        <v>27</v>
      </c>
      <c r="B100" s="33" t="s">
        <v>615</v>
      </c>
      <c r="C100" s="34" t="s">
        <v>616</v>
      </c>
      <c r="D100" s="34" t="s">
        <v>617</v>
      </c>
      <c r="E100" s="34" t="s">
        <v>235</v>
      </c>
      <c r="F100" s="35">
        <v>986032358</v>
      </c>
      <c r="G100" s="36" t="s">
        <v>237</v>
      </c>
      <c r="H100" s="16">
        <f t="shared" si="1"/>
        <v>27</v>
      </c>
      <c r="I100" s="33"/>
    </row>
    <row r="101" spans="1:9" ht="12.75" x14ac:dyDescent="0.2">
      <c r="A101" s="16">
        <v>105</v>
      </c>
      <c r="B101" s="33" t="s">
        <v>615</v>
      </c>
      <c r="C101" s="37" t="s">
        <v>112</v>
      </c>
      <c r="D101" s="37" t="s">
        <v>234</v>
      </c>
      <c r="E101" s="37" t="s">
        <v>235</v>
      </c>
      <c r="F101" s="55" t="s">
        <v>236</v>
      </c>
      <c r="G101" s="46"/>
      <c r="H101" s="16">
        <f t="shared" si="1"/>
        <v>105</v>
      </c>
      <c r="I101" s="33"/>
    </row>
    <row r="102" spans="1:9" ht="12.75" x14ac:dyDescent="0.2">
      <c r="A102" s="16">
        <v>132</v>
      </c>
      <c r="B102" s="33" t="s">
        <v>618</v>
      </c>
      <c r="C102" s="42" t="s">
        <v>117</v>
      </c>
      <c r="D102" s="48" t="s">
        <v>619</v>
      </c>
      <c r="E102" s="42" t="s">
        <v>116</v>
      </c>
      <c r="F102" s="42" t="s">
        <v>620</v>
      </c>
      <c r="G102" s="39" t="s">
        <v>118</v>
      </c>
      <c r="H102" s="16">
        <f t="shared" si="1"/>
        <v>132</v>
      </c>
      <c r="I102" s="33"/>
    </row>
    <row r="103" spans="1:9" ht="12.75" x14ac:dyDescent="0.2">
      <c r="A103" s="16">
        <v>133</v>
      </c>
      <c r="B103" s="33" t="s">
        <v>621</v>
      </c>
      <c r="C103" s="42" t="s">
        <v>622</v>
      </c>
      <c r="D103" s="48" t="s">
        <v>619</v>
      </c>
      <c r="E103" s="42" t="s">
        <v>116</v>
      </c>
      <c r="F103" s="42" t="s">
        <v>623</v>
      </c>
      <c r="G103" s="39" t="s">
        <v>624</v>
      </c>
      <c r="H103" s="16">
        <f t="shared" si="1"/>
        <v>133</v>
      </c>
      <c r="I103" s="33"/>
    </row>
    <row r="104" spans="1:9" ht="12.75" x14ac:dyDescent="0.2">
      <c r="A104" s="16">
        <v>136</v>
      </c>
      <c r="B104" s="33" t="s">
        <v>625</v>
      </c>
      <c r="C104" s="37" t="s">
        <v>626</v>
      </c>
      <c r="D104" s="44" t="s">
        <v>627</v>
      </c>
      <c r="E104" s="37" t="s">
        <v>628</v>
      </c>
      <c r="F104" s="45" t="s">
        <v>629</v>
      </c>
      <c r="G104" s="46"/>
      <c r="H104" s="16">
        <f t="shared" si="1"/>
        <v>136</v>
      </c>
      <c r="I104" s="33"/>
    </row>
    <row r="105" spans="1:9" ht="12.75" x14ac:dyDescent="0.2">
      <c r="A105" s="16">
        <v>137</v>
      </c>
      <c r="B105" s="33" t="s">
        <v>630</v>
      </c>
      <c r="C105" s="37" t="s">
        <v>631</v>
      </c>
      <c r="D105" s="44" t="s">
        <v>627</v>
      </c>
      <c r="E105" s="37" t="s">
        <v>628</v>
      </c>
      <c r="F105" s="45" t="s">
        <v>632</v>
      </c>
      <c r="G105" s="46"/>
      <c r="H105" s="16">
        <f t="shared" si="1"/>
        <v>137</v>
      </c>
      <c r="I105" s="33"/>
    </row>
    <row r="106" spans="1:9" ht="12.75" x14ac:dyDescent="0.2">
      <c r="A106" s="16">
        <v>135</v>
      </c>
      <c r="B106" s="33" t="s">
        <v>633</v>
      </c>
      <c r="C106" s="37" t="s">
        <v>36</v>
      </c>
      <c r="D106" s="44" t="s">
        <v>627</v>
      </c>
      <c r="E106" s="37" t="s">
        <v>628</v>
      </c>
      <c r="F106" s="45" t="s">
        <v>634</v>
      </c>
      <c r="G106" s="39" t="s">
        <v>635</v>
      </c>
      <c r="H106" s="16">
        <f t="shared" si="1"/>
        <v>135</v>
      </c>
      <c r="I106" s="33"/>
    </row>
    <row r="107" spans="1:9" ht="12.75" x14ac:dyDescent="0.2">
      <c r="A107" s="16">
        <v>134</v>
      </c>
      <c r="B107" s="33" t="s">
        <v>636</v>
      </c>
      <c r="C107" s="37" t="s">
        <v>105</v>
      </c>
      <c r="D107" s="44" t="s">
        <v>627</v>
      </c>
      <c r="E107" s="37" t="s">
        <v>628</v>
      </c>
      <c r="F107" s="45" t="s">
        <v>637</v>
      </c>
      <c r="G107" s="39" t="s">
        <v>638</v>
      </c>
      <c r="H107" s="16">
        <f t="shared" si="1"/>
        <v>134</v>
      </c>
      <c r="I107" s="33"/>
    </row>
    <row r="108" spans="1:9" ht="12.75" x14ac:dyDescent="0.2">
      <c r="A108" s="16">
        <v>131</v>
      </c>
      <c r="B108" s="33" t="s">
        <v>639</v>
      </c>
      <c r="C108" s="42" t="s">
        <v>115</v>
      </c>
      <c r="D108" s="48" t="s">
        <v>619</v>
      </c>
      <c r="E108" s="42" t="s">
        <v>116</v>
      </c>
      <c r="F108" s="42" t="s">
        <v>640</v>
      </c>
      <c r="G108" s="46"/>
      <c r="H108" s="16">
        <f t="shared" si="1"/>
        <v>131</v>
      </c>
      <c r="I108" s="33"/>
    </row>
    <row r="109" spans="1:9" ht="12.75" x14ac:dyDescent="0.2">
      <c r="A109" s="16">
        <v>68</v>
      </c>
      <c r="B109" s="41" t="s">
        <v>641</v>
      </c>
      <c r="C109" s="42" t="s">
        <v>119</v>
      </c>
      <c r="D109" s="48" t="s">
        <v>120</v>
      </c>
      <c r="E109" s="42" t="s">
        <v>121</v>
      </c>
      <c r="F109" s="43" t="s">
        <v>122</v>
      </c>
      <c r="G109" s="39" t="s">
        <v>123</v>
      </c>
      <c r="H109" s="16">
        <f t="shared" si="1"/>
        <v>68</v>
      </c>
      <c r="I109" s="33"/>
    </row>
    <row r="110" spans="1:9" ht="12.75" x14ac:dyDescent="0.2">
      <c r="A110" s="16">
        <v>69</v>
      </c>
      <c r="B110" s="41" t="s">
        <v>642</v>
      </c>
      <c r="C110" s="42" t="s">
        <v>124</v>
      </c>
      <c r="D110" s="48" t="s">
        <v>120</v>
      </c>
      <c r="E110" s="42" t="s">
        <v>121</v>
      </c>
      <c r="F110" s="42" t="s">
        <v>643</v>
      </c>
      <c r="G110" s="39" t="s">
        <v>125</v>
      </c>
      <c r="H110" s="16">
        <f t="shared" si="1"/>
        <v>69</v>
      </c>
      <c r="I110" s="33"/>
    </row>
    <row r="111" spans="1:9" ht="31.5" customHeight="1" x14ac:dyDescent="0.2">
      <c r="A111" s="16">
        <v>78</v>
      </c>
      <c r="B111" s="41" t="s">
        <v>644</v>
      </c>
      <c r="C111" s="42" t="s">
        <v>645</v>
      </c>
      <c r="D111" s="42" t="s">
        <v>153</v>
      </c>
      <c r="E111" s="42" t="s">
        <v>154</v>
      </c>
      <c r="F111" s="43" t="s">
        <v>646</v>
      </c>
      <c r="G111" s="39" t="s">
        <v>647</v>
      </c>
      <c r="H111" s="16">
        <f t="shared" si="1"/>
        <v>78</v>
      </c>
      <c r="I111" s="33"/>
    </row>
    <row r="112" spans="1:9" ht="36" x14ac:dyDescent="0.2">
      <c r="A112" s="16">
        <v>28</v>
      </c>
      <c r="B112" s="33" t="s">
        <v>648</v>
      </c>
      <c r="C112" s="34" t="s">
        <v>649</v>
      </c>
      <c r="D112" s="60" t="s">
        <v>650</v>
      </c>
      <c r="E112" s="34" t="s">
        <v>651</v>
      </c>
      <c r="F112" s="35">
        <v>904201699</v>
      </c>
      <c r="G112" s="36" t="s">
        <v>652</v>
      </c>
      <c r="H112" s="16">
        <f t="shared" si="1"/>
        <v>28</v>
      </c>
      <c r="I112" s="33"/>
    </row>
    <row r="113" spans="1:9" ht="36" x14ac:dyDescent="0.2">
      <c r="A113" s="16">
        <v>29</v>
      </c>
      <c r="B113" s="33" t="s">
        <v>653</v>
      </c>
      <c r="C113" s="34" t="s">
        <v>654</v>
      </c>
      <c r="D113" s="60" t="s">
        <v>650</v>
      </c>
      <c r="E113" s="34" t="s">
        <v>651</v>
      </c>
      <c r="F113" s="35" t="s">
        <v>655</v>
      </c>
      <c r="G113" s="36"/>
      <c r="H113" s="16">
        <f t="shared" si="1"/>
        <v>29</v>
      </c>
      <c r="I113" s="33"/>
    </row>
    <row r="114" spans="1:9" ht="12.75" x14ac:dyDescent="0.2">
      <c r="A114" s="16">
        <v>3</v>
      </c>
      <c r="B114" s="33" t="s">
        <v>656</v>
      </c>
      <c r="C114" s="34" t="s">
        <v>657</v>
      </c>
      <c r="D114" s="44" t="s">
        <v>46</v>
      </c>
      <c r="E114" s="34" t="s">
        <v>658</v>
      </c>
      <c r="F114" s="35">
        <v>1665930441</v>
      </c>
      <c r="G114" s="36" t="s">
        <v>49</v>
      </c>
      <c r="H114" s="16">
        <f t="shared" si="1"/>
        <v>3</v>
      </c>
      <c r="I114" s="33"/>
    </row>
    <row r="115" spans="1:9" ht="12.75" x14ac:dyDescent="0.2">
      <c r="A115" s="16">
        <v>2</v>
      </c>
      <c r="B115" s="33" t="s">
        <v>659</v>
      </c>
      <c r="C115" s="37" t="s">
        <v>45</v>
      </c>
      <c r="D115" s="44" t="s">
        <v>46</v>
      </c>
      <c r="E115" s="37" t="s">
        <v>47</v>
      </c>
      <c r="F115" s="38" t="s">
        <v>48</v>
      </c>
      <c r="G115" s="46"/>
      <c r="H115" s="16">
        <f t="shared" si="1"/>
        <v>2</v>
      </c>
      <c r="I115" s="33"/>
    </row>
    <row r="116" spans="1:9" ht="12.75" x14ac:dyDescent="0.2">
      <c r="A116" s="16">
        <v>52</v>
      </c>
      <c r="B116" s="41" t="s">
        <v>660</v>
      </c>
      <c r="C116" s="37" t="s">
        <v>68</v>
      </c>
      <c r="D116" s="37" t="s">
        <v>69</v>
      </c>
      <c r="E116" s="37" t="s">
        <v>70</v>
      </c>
      <c r="F116" s="38"/>
      <c r="G116" s="46"/>
      <c r="H116" s="16">
        <f t="shared" si="1"/>
        <v>52</v>
      </c>
      <c r="I116" s="33"/>
    </row>
    <row r="117" spans="1:9" ht="12.75" x14ac:dyDescent="0.2">
      <c r="A117" s="16">
        <v>99</v>
      </c>
      <c r="B117" s="33" t="s">
        <v>661</v>
      </c>
      <c r="C117" s="37" t="s">
        <v>224</v>
      </c>
      <c r="D117" s="44" t="s">
        <v>662</v>
      </c>
      <c r="E117" s="37" t="s">
        <v>107</v>
      </c>
      <c r="F117" s="45">
        <v>974833581</v>
      </c>
      <c r="G117" s="39" t="s">
        <v>225</v>
      </c>
      <c r="H117" s="16">
        <f t="shared" si="1"/>
        <v>99</v>
      </c>
      <c r="I117" s="33"/>
    </row>
    <row r="118" spans="1:9" ht="12.75" x14ac:dyDescent="0.2">
      <c r="A118" s="16">
        <v>100</v>
      </c>
      <c r="B118" s="33" t="s">
        <v>663</v>
      </c>
      <c r="C118" s="37" t="s">
        <v>37</v>
      </c>
      <c r="D118" s="44" t="s">
        <v>662</v>
      </c>
      <c r="E118" s="42" t="s">
        <v>107</v>
      </c>
      <c r="F118" s="45" t="s">
        <v>664</v>
      </c>
      <c r="G118" s="39" t="s">
        <v>94</v>
      </c>
      <c r="H118" s="16">
        <f t="shared" si="1"/>
        <v>100</v>
      </c>
      <c r="I118" s="33"/>
    </row>
    <row r="119" spans="1:9" ht="24" x14ac:dyDescent="0.2">
      <c r="A119" s="16">
        <v>88</v>
      </c>
      <c r="B119" s="41" t="s">
        <v>665</v>
      </c>
      <c r="C119" s="42" t="s">
        <v>184</v>
      </c>
      <c r="D119" s="42" t="s">
        <v>185</v>
      </c>
      <c r="E119" s="42"/>
      <c r="F119" s="43" t="s">
        <v>666</v>
      </c>
      <c r="G119" s="39" t="s">
        <v>667</v>
      </c>
      <c r="H119" s="16">
        <f t="shared" si="1"/>
        <v>88</v>
      </c>
      <c r="I119" s="33"/>
    </row>
    <row r="120" spans="1:9" ht="24" x14ac:dyDescent="0.2">
      <c r="A120" s="16">
        <v>48</v>
      </c>
      <c r="B120" s="41" t="s">
        <v>668</v>
      </c>
      <c r="C120" s="37" t="s">
        <v>52</v>
      </c>
      <c r="D120" s="37" t="s">
        <v>53</v>
      </c>
      <c r="E120" s="37" t="s">
        <v>54</v>
      </c>
      <c r="F120" s="38" t="s">
        <v>55</v>
      </c>
      <c r="G120" s="46"/>
      <c r="H120" s="16">
        <f t="shared" si="1"/>
        <v>48</v>
      </c>
      <c r="I120" s="33"/>
    </row>
    <row r="121" spans="1:9" ht="24" x14ac:dyDescent="0.2">
      <c r="A121" s="16">
        <v>19</v>
      </c>
      <c r="B121" s="33" t="s">
        <v>669</v>
      </c>
      <c r="C121" s="34" t="s">
        <v>520</v>
      </c>
      <c r="D121" s="34" t="s">
        <v>670</v>
      </c>
      <c r="E121" s="34" t="s">
        <v>671</v>
      </c>
      <c r="F121" s="35" t="s">
        <v>672</v>
      </c>
      <c r="G121" s="36" t="s">
        <v>673</v>
      </c>
      <c r="H121" s="16">
        <f t="shared" si="1"/>
        <v>19</v>
      </c>
      <c r="I121" s="33"/>
    </row>
    <row r="122" spans="1:9" ht="12.75" x14ac:dyDescent="0.2">
      <c r="A122" s="16">
        <v>14</v>
      </c>
      <c r="B122" s="33" t="s">
        <v>674</v>
      </c>
      <c r="C122" s="34" t="s">
        <v>75</v>
      </c>
      <c r="D122" s="34" t="s">
        <v>675</v>
      </c>
      <c r="E122" s="34" t="s">
        <v>676</v>
      </c>
      <c r="F122" s="35">
        <v>938034768</v>
      </c>
      <c r="G122" s="36" t="s">
        <v>677</v>
      </c>
      <c r="H122" s="16">
        <f t="shared" si="1"/>
        <v>14</v>
      </c>
      <c r="I122" s="33"/>
    </row>
    <row r="123" spans="1:9" ht="12.75" x14ac:dyDescent="0.2">
      <c r="A123" s="16">
        <v>54</v>
      </c>
      <c r="B123" s="41" t="s">
        <v>674</v>
      </c>
      <c r="C123" s="37" t="s">
        <v>75</v>
      </c>
      <c r="D123" s="37" t="s">
        <v>76</v>
      </c>
      <c r="E123" s="37" t="s">
        <v>77</v>
      </c>
      <c r="F123" s="38" t="s">
        <v>78</v>
      </c>
      <c r="G123" s="46" t="s">
        <v>677</v>
      </c>
      <c r="H123" s="16">
        <f t="shared" si="1"/>
        <v>54</v>
      </c>
      <c r="I123" s="33"/>
    </row>
    <row r="124" spans="1:9" ht="12.75" x14ac:dyDescent="0.2">
      <c r="A124" s="16">
        <v>101</v>
      </c>
      <c r="B124" s="33" t="s">
        <v>678</v>
      </c>
      <c r="C124" s="37" t="s">
        <v>159</v>
      </c>
      <c r="D124" s="37" t="s">
        <v>226</v>
      </c>
      <c r="E124" s="37"/>
      <c r="F124" s="45" t="s">
        <v>227</v>
      </c>
      <c r="G124" s="46"/>
      <c r="H124" s="16">
        <f t="shared" si="1"/>
        <v>101</v>
      </c>
      <c r="I124" s="33"/>
    </row>
    <row r="125" spans="1:9" ht="24" x14ac:dyDescent="0.2">
      <c r="A125" s="16">
        <v>51</v>
      </c>
      <c r="B125" s="41" t="s">
        <v>679</v>
      </c>
      <c r="C125" s="37" t="s">
        <v>64</v>
      </c>
      <c r="D125" s="37" t="s">
        <v>65</v>
      </c>
      <c r="E125" s="37" t="s">
        <v>66</v>
      </c>
      <c r="F125" s="38" t="s">
        <v>67</v>
      </c>
      <c r="G125" s="46"/>
      <c r="H125" s="16">
        <f t="shared" si="1"/>
        <v>51</v>
      </c>
      <c r="I125" s="33"/>
    </row>
    <row r="126" spans="1:9" ht="24" x14ac:dyDescent="0.2">
      <c r="A126" s="16">
        <v>96</v>
      </c>
      <c r="B126" s="33" t="s">
        <v>680</v>
      </c>
      <c r="C126" s="42" t="s">
        <v>205</v>
      </c>
      <c r="D126" s="42" t="s">
        <v>206</v>
      </c>
      <c r="E126" s="42" t="s">
        <v>207</v>
      </c>
      <c r="F126" s="42" t="s">
        <v>208</v>
      </c>
      <c r="G126" s="39" t="s">
        <v>209</v>
      </c>
      <c r="H126" s="16">
        <f t="shared" si="1"/>
        <v>96</v>
      </c>
      <c r="I126" s="33"/>
    </row>
    <row r="127" spans="1:9" ht="24" x14ac:dyDescent="0.2">
      <c r="A127" s="16">
        <v>79</v>
      </c>
      <c r="B127" s="41" t="s">
        <v>681</v>
      </c>
      <c r="C127" s="42" t="s">
        <v>155</v>
      </c>
      <c r="D127" s="42" t="s">
        <v>156</v>
      </c>
      <c r="E127" s="42" t="s">
        <v>157</v>
      </c>
      <c r="F127" s="43" t="s">
        <v>682</v>
      </c>
      <c r="G127" s="39" t="s">
        <v>158</v>
      </c>
      <c r="H127" s="16">
        <f t="shared" si="1"/>
        <v>79</v>
      </c>
      <c r="I127" s="33"/>
    </row>
    <row r="128" spans="1:9" ht="24" x14ac:dyDescent="0.2">
      <c r="A128" s="16">
        <v>77</v>
      </c>
      <c r="B128" s="41" t="s">
        <v>683</v>
      </c>
      <c r="C128" s="42" t="s">
        <v>138</v>
      </c>
      <c r="D128" s="42" t="s">
        <v>149</v>
      </c>
      <c r="E128" s="42" t="s">
        <v>150</v>
      </c>
      <c r="F128" s="43" t="s">
        <v>684</v>
      </c>
      <c r="G128" s="39" t="s">
        <v>151</v>
      </c>
      <c r="H128" s="16">
        <f t="shared" si="1"/>
        <v>77</v>
      </c>
      <c r="I128" s="33"/>
    </row>
    <row r="129" spans="1:9" ht="12.75" x14ac:dyDescent="0.2">
      <c r="A129" s="16">
        <v>24</v>
      </c>
      <c r="B129" s="33" t="s">
        <v>685</v>
      </c>
      <c r="C129" s="34" t="s">
        <v>686</v>
      </c>
      <c r="D129" s="34" t="s">
        <v>687</v>
      </c>
      <c r="E129" s="34" t="s">
        <v>688</v>
      </c>
      <c r="F129" s="35"/>
      <c r="G129" s="36" t="s">
        <v>689</v>
      </c>
      <c r="H129" s="16">
        <f t="shared" si="1"/>
        <v>24</v>
      </c>
      <c r="I129" s="33"/>
    </row>
    <row r="130" spans="1:9" ht="24" x14ac:dyDescent="0.2">
      <c r="A130" s="16">
        <v>32</v>
      </c>
      <c r="B130" s="33" t="s">
        <v>690</v>
      </c>
      <c r="C130" s="34" t="s">
        <v>691</v>
      </c>
      <c r="D130" s="34" t="s">
        <v>692</v>
      </c>
      <c r="E130" s="34" t="s">
        <v>693</v>
      </c>
      <c r="F130" s="35" t="s">
        <v>694</v>
      </c>
      <c r="G130" s="54" t="s">
        <v>695</v>
      </c>
      <c r="H130" s="16">
        <f t="shared" si="1"/>
        <v>32</v>
      </c>
      <c r="I130" s="33"/>
    </row>
    <row r="131" spans="1:9" ht="24" x14ac:dyDescent="0.2">
      <c r="A131" s="16">
        <v>121</v>
      </c>
      <c r="B131" s="33" t="s">
        <v>696</v>
      </c>
      <c r="C131" s="37" t="s">
        <v>197</v>
      </c>
      <c r="D131" s="44" t="s">
        <v>697</v>
      </c>
      <c r="E131" s="37" t="s">
        <v>698</v>
      </c>
      <c r="F131" s="45" t="s">
        <v>699</v>
      </c>
      <c r="G131" s="39" t="s">
        <v>700</v>
      </c>
      <c r="H131" s="16">
        <f t="shared" ref="H131:H194" si="2">A131</f>
        <v>121</v>
      </c>
      <c r="I131" s="33"/>
    </row>
    <row r="132" spans="1:9" ht="24" x14ac:dyDescent="0.2">
      <c r="A132" s="16">
        <v>122</v>
      </c>
      <c r="B132" s="33" t="s">
        <v>701</v>
      </c>
      <c r="C132" s="37" t="s">
        <v>138</v>
      </c>
      <c r="D132" s="44" t="s">
        <v>697</v>
      </c>
      <c r="E132" s="37" t="s">
        <v>698</v>
      </c>
      <c r="F132" s="38" t="s">
        <v>849</v>
      </c>
      <c r="G132" s="39" t="s">
        <v>702</v>
      </c>
      <c r="H132" s="16">
        <f t="shared" si="2"/>
        <v>122</v>
      </c>
      <c r="I132" s="33"/>
    </row>
    <row r="133" spans="1:9" ht="12.75" x14ac:dyDescent="0.2">
      <c r="A133" s="16">
        <v>107</v>
      </c>
      <c r="B133" s="33" t="s">
        <v>703</v>
      </c>
      <c r="C133" s="37" t="s">
        <v>243</v>
      </c>
      <c r="D133" s="37" t="s">
        <v>244</v>
      </c>
      <c r="E133" s="37" t="s">
        <v>43</v>
      </c>
      <c r="F133" s="55" t="s">
        <v>245</v>
      </c>
      <c r="G133" s="39" t="s">
        <v>246</v>
      </c>
      <c r="H133" s="16">
        <f t="shared" si="2"/>
        <v>107</v>
      </c>
      <c r="I133" s="33" t="s">
        <v>242</v>
      </c>
    </row>
    <row r="134" spans="1:9" ht="36" x14ac:dyDescent="0.2">
      <c r="A134" s="16">
        <v>35</v>
      </c>
      <c r="B134" s="33" t="s">
        <v>704</v>
      </c>
      <c r="C134" s="34" t="s">
        <v>705</v>
      </c>
      <c r="D134" s="34" t="s">
        <v>706</v>
      </c>
      <c r="E134" s="49" t="s">
        <v>707</v>
      </c>
      <c r="F134" s="35" t="s">
        <v>708</v>
      </c>
      <c r="G134" s="36" t="s">
        <v>709</v>
      </c>
      <c r="H134" s="16">
        <f t="shared" si="2"/>
        <v>35</v>
      </c>
      <c r="I134" s="33"/>
    </row>
    <row r="135" spans="1:9" x14ac:dyDescent="0.2">
      <c r="A135" s="16">
        <v>38</v>
      </c>
      <c r="B135" s="33" t="s">
        <v>710</v>
      </c>
      <c r="C135" s="34" t="s">
        <v>711</v>
      </c>
      <c r="D135" s="34" t="s">
        <v>712</v>
      </c>
      <c r="E135" s="49" t="s">
        <v>349</v>
      </c>
      <c r="F135" s="40">
        <v>976703735</v>
      </c>
      <c r="G135" s="61" t="s">
        <v>713</v>
      </c>
      <c r="H135" s="16">
        <f t="shared" si="2"/>
        <v>38</v>
      </c>
      <c r="I135" s="33"/>
    </row>
    <row r="136" spans="1:9" ht="28.5" x14ac:dyDescent="0.2">
      <c r="A136" s="16">
        <v>37</v>
      </c>
      <c r="B136" s="33" t="s">
        <v>714</v>
      </c>
      <c r="C136" s="34" t="s">
        <v>715</v>
      </c>
      <c r="D136" s="34" t="s">
        <v>712</v>
      </c>
      <c r="E136" s="49" t="s">
        <v>349</v>
      </c>
      <c r="F136" s="40" t="s">
        <v>716</v>
      </c>
      <c r="G136" s="61" t="s">
        <v>717</v>
      </c>
      <c r="H136" s="16">
        <f t="shared" si="2"/>
        <v>37</v>
      </c>
      <c r="I136" s="33"/>
    </row>
    <row r="137" spans="1:9" ht="24" x14ac:dyDescent="0.2">
      <c r="A137" s="16">
        <v>82</v>
      </c>
      <c r="B137" s="41" t="s">
        <v>718</v>
      </c>
      <c r="C137" s="42" t="s">
        <v>719</v>
      </c>
      <c r="D137" s="48" t="s">
        <v>161</v>
      </c>
      <c r="E137" s="42" t="s">
        <v>162</v>
      </c>
      <c r="F137" s="43" t="s">
        <v>720</v>
      </c>
      <c r="G137" s="39" t="s">
        <v>721</v>
      </c>
      <c r="H137" s="16">
        <f t="shared" si="2"/>
        <v>82</v>
      </c>
      <c r="I137" s="33"/>
    </row>
    <row r="138" spans="1:9" ht="24" x14ac:dyDescent="0.2">
      <c r="A138" s="16">
        <v>81</v>
      </c>
      <c r="B138" s="41" t="s">
        <v>722</v>
      </c>
      <c r="C138" s="42" t="s">
        <v>723</v>
      </c>
      <c r="D138" s="48" t="s">
        <v>161</v>
      </c>
      <c r="E138" s="42" t="s">
        <v>162</v>
      </c>
      <c r="F138" s="43"/>
      <c r="G138" s="39" t="s">
        <v>724</v>
      </c>
      <c r="H138" s="16">
        <f t="shared" si="2"/>
        <v>81</v>
      </c>
      <c r="I138" s="33"/>
    </row>
    <row r="139" spans="1:9" ht="24" x14ac:dyDescent="0.2">
      <c r="A139" s="16">
        <v>80</v>
      </c>
      <c r="B139" s="41" t="s">
        <v>725</v>
      </c>
      <c r="C139" s="42" t="s">
        <v>160</v>
      </c>
      <c r="D139" s="48" t="s">
        <v>161</v>
      </c>
      <c r="E139" s="42" t="s">
        <v>162</v>
      </c>
      <c r="F139" s="43" t="s">
        <v>726</v>
      </c>
      <c r="G139" s="39" t="s">
        <v>163</v>
      </c>
      <c r="H139" s="16">
        <f t="shared" si="2"/>
        <v>80</v>
      </c>
      <c r="I139" s="33"/>
    </row>
    <row r="140" spans="1:9" ht="24" x14ac:dyDescent="0.2">
      <c r="A140" s="16">
        <v>11</v>
      </c>
      <c r="B140" s="33" t="s">
        <v>727</v>
      </c>
      <c r="C140" s="34" t="s">
        <v>728</v>
      </c>
      <c r="D140" s="34" t="s">
        <v>729</v>
      </c>
      <c r="E140" s="34" t="s">
        <v>730</v>
      </c>
      <c r="F140" s="35">
        <v>1675792823</v>
      </c>
      <c r="G140" s="46"/>
      <c r="H140" s="16">
        <f t="shared" si="2"/>
        <v>11</v>
      </c>
      <c r="I140" s="33"/>
    </row>
    <row r="141" spans="1:9" ht="24" x14ac:dyDescent="0.2">
      <c r="A141" s="16">
        <v>140</v>
      </c>
      <c r="B141" s="33" t="s">
        <v>744</v>
      </c>
      <c r="C141" s="33" t="s">
        <v>745</v>
      </c>
      <c r="D141" s="33" t="s">
        <v>748</v>
      </c>
      <c r="E141" s="33" t="s">
        <v>747</v>
      </c>
      <c r="F141" s="81" t="s">
        <v>746</v>
      </c>
      <c r="G141" s="20" t="s">
        <v>743</v>
      </c>
      <c r="H141" s="16">
        <f t="shared" si="2"/>
        <v>140</v>
      </c>
      <c r="I141" s="33"/>
    </row>
    <row r="142" spans="1:9" x14ac:dyDescent="0.2">
      <c r="A142" s="16">
        <v>141</v>
      </c>
      <c r="B142" s="17" t="s">
        <v>754</v>
      </c>
      <c r="C142" s="17" t="s">
        <v>755</v>
      </c>
      <c r="D142" s="17" t="s">
        <v>756</v>
      </c>
      <c r="E142" s="17" t="s">
        <v>757</v>
      </c>
      <c r="G142" s="97" t="s">
        <v>758</v>
      </c>
      <c r="H142" s="16">
        <f t="shared" si="2"/>
        <v>141</v>
      </c>
      <c r="I142" s="33"/>
    </row>
    <row r="143" spans="1:9" ht="28.5" x14ac:dyDescent="0.2">
      <c r="A143" s="16">
        <v>142</v>
      </c>
      <c r="B143" s="33" t="s">
        <v>759</v>
      </c>
      <c r="C143" s="33" t="s">
        <v>760</v>
      </c>
      <c r="D143" s="17" t="s">
        <v>756</v>
      </c>
      <c r="E143" s="17" t="s">
        <v>757</v>
      </c>
      <c r="F143" s="62"/>
      <c r="G143" s="117" t="s">
        <v>761</v>
      </c>
      <c r="H143" s="16">
        <f t="shared" si="2"/>
        <v>142</v>
      </c>
      <c r="I143" s="33"/>
    </row>
    <row r="144" spans="1:9" ht="12.75" x14ac:dyDescent="0.2">
      <c r="A144" s="16">
        <v>143</v>
      </c>
      <c r="B144" s="33" t="s">
        <v>795</v>
      </c>
      <c r="C144" s="33" t="s">
        <v>789</v>
      </c>
      <c r="D144" s="33" t="s">
        <v>795</v>
      </c>
      <c r="E144" s="33" t="s">
        <v>788</v>
      </c>
      <c r="F144" s="81" t="s">
        <v>790</v>
      </c>
      <c r="G144" s="133" t="s">
        <v>791</v>
      </c>
      <c r="H144" s="16">
        <f t="shared" si="2"/>
        <v>143</v>
      </c>
      <c r="I144" s="33"/>
    </row>
    <row r="145" spans="1:9" ht="24" x14ac:dyDescent="0.2">
      <c r="A145" s="16">
        <v>144</v>
      </c>
      <c r="B145" s="33" t="s">
        <v>800</v>
      </c>
      <c r="C145" s="33" t="s">
        <v>799</v>
      </c>
      <c r="D145" s="134" t="s">
        <v>798</v>
      </c>
      <c r="E145" s="33" t="s">
        <v>796</v>
      </c>
      <c r="F145" s="81" t="s">
        <v>797</v>
      </c>
      <c r="G145" s="117" t="s">
        <v>801</v>
      </c>
      <c r="H145" s="16">
        <f t="shared" si="2"/>
        <v>144</v>
      </c>
      <c r="I145" s="33"/>
    </row>
    <row r="146" spans="1:9" ht="12.75" x14ac:dyDescent="0.2">
      <c r="A146" s="16">
        <v>145</v>
      </c>
      <c r="B146" s="33" t="s">
        <v>810</v>
      </c>
      <c r="C146" s="33" t="s">
        <v>811</v>
      </c>
      <c r="D146" s="33" t="s">
        <v>807</v>
      </c>
      <c r="E146" s="33" t="s">
        <v>808</v>
      </c>
      <c r="F146" s="62"/>
      <c r="G146" s="63"/>
      <c r="H146" s="16">
        <f t="shared" si="2"/>
        <v>145</v>
      </c>
      <c r="I146" s="33"/>
    </row>
    <row r="147" spans="1:9" ht="24" x14ac:dyDescent="0.2">
      <c r="A147" s="16">
        <v>146</v>
      </c>
      <c r="B147" s="134" t="s">
        <v>815</v>
      </c>
      <c r="C147" s="33" t="s">
        <v>815</v>
      </c>
      <c r="D147" s="33" t="s">
        <v>816</v>
      </c>
      <c r="E147" s="33" t="s">
        <v>817</v>
      </c>
      <c r="F147" s="62"/>
      <c r="G147" s="133" t="s">
        <v>814</v>
      </c>
      <c r="H147" s="16">
        <f t="shared" si="2"/>
        <v>146</v>
      </c>
      <c r="I147" s="33"/>
    </row>
    <row r="148" spans="1:9" ht="24" x14ac:dyDescent="0.2">
      <c r="A148" s="16">
        <v>147</v>
      </c>
      <c r="B148" s="33" t="s">
        <v>822</v>
      </c>
      <c r="C148" s="33" t="s">
        <v>112</v>
      </c>
      <c r="D148" s="33" t="s">
        <v>821</v>
      </c>
      <c r="E148" s="33" t="s">
        <v>819</v>
      </c>
      <c r="F148" s="81" t="s">
        <v>820</v>
      </c>
      <c r="G148" s="117" t="s">
        <v>818</v>
      </c>
      <c r="H148" s="16">
        <f t="shared" si="2"/>
        <v>147</v>
      </c>
      <c r="I148" s="33"/>
    </row>
    <row r="149" spans="1:9" ht="24" x14ac:dyDescent="0.2">
      <c r="A149" s="16">
        <v>148</v>
      </c>
      <c r="B149" s="33" t="s">
        <v>829</v>
      </c>
      <c r="C149" s="33" t="s">
        <v>830</v>
      </c>
      <c r="D149" s="33" t="s">
        <v>821</v>
      </c>
      <c r="E149" s="33" t="s">
        <v>819</v>
      </c>
      <c r="F149" s="62"/>
      <c r="G149" s="117" t="s">
        <v>828</v>
      </c>
      <c r="H149" s="16">
        <f t="shared" si="2"/>
        <v>148</v>
      </c>
      <c r="I149" s="33"/>
    </row>
    <row r="150" spans="1:9" ht="24" x14ac:dyDescent="0.2">
      <c r="A150" s="16">
        <v>149</v>
      </c>
      <c r="B150" s="33" t="s">
        <v>834</v>
      </c>
      <c r="C150" s="33" t="s">
        <v>835</v>
      </c>
      <c r="D150" s="33" t="s">
        <v>821</v>
      </c>
      <c r="E150" s="33" t="s">
        <v>819</v>
      </c>
      <c r="F150" s="62"/>
      <c r="G150" s="63" t="s">
        <v>833</v>
      </c>
      <c r="H150" s="16">
        <f t="shared" si="2"/>
        <v>149</v>
      </c>
      <c r="I150" s="33"/>
    </row>
    <row r="151" spans="1:9" ht="12.75" x14ac:dyDescent="0.2">
      <c r="A151" s="16">
        <v>150</v>
      </c>
      <c r="B151" s="33" t="s">
        <v>836</v>
      </c>
      <c r="C151" s="33" t="s">
        <v>837</v>
      </c>
      <c r="D151" s="33" t="s">
        <v>838</v>
      </c>
      <c r="E151" s="33" t="s">
        <v>839</v>
      </c>
      <c r="F151" s="62" t="s">
        <v>840</v>
      </c>
      <c r="G151" s="63" t="s">
        <v>841</v>
      </c>
      <c r="H151" s="16">
        <f t="shared" si="2"/>
        <v>150</v>
      </c>
      <c r="I151" s="33"/>
    </row>
    <row r="152" spans="1:9" x14ac:dyDescent="0.2">
      <c r="A152" s="16">
        <v>151</v>
      </c>
      <c r="B152" s="33" t="s">
        <v>171</v>
      </c>
      <c r="C152" s="33" t="s">
        <v>171</v>
      </c>
      <c r="D152" s="33"/>
      <c r="E152" s="33"/>
      <c r="F152" s="62"/>
      <c r="G152" s="20" t="s">
        <v>845</v>
      </c>
      <c r="H152" s="16">
        <f t="shared" si="2"/>
        <v>151</v>
      </c>
      <c r="I152" s="33"/>
    </row>
    <row r="153" spans="1:9" ht="12.75" x14ac:dyDescent="0.2">
      <c r="A153" s="16">
        <v>152</v>
      </c>
      <c r="B153" s="33"/>
      <c r="C153" s="33"/>
      <c r="D153" s="33"/>
      <c r="E153" s="33"/>
      <c r="F153" s="62"/>
      <c r="G153" s="63"/>
      <c r="H153" s="16">
        <f t="shared" si="2"/>
        <v>152</v>
      </c>
      <c r="I153" s="33"/>
    </row>
    <row r="154" spans="1:9" ht="12.75" x14ac:dyDescent="0.2">
      <c r="A154" s="16">
        <v>153</v>
      </c>
      <c r="B154" s="33"/>
      <c r="C154" s="33"/>
      <c r="D154" s="33"/>
      <c r="E154" s="33"/>
      <c r="F154" s="62"/>
      <c r="G154" s="63"/>
      <c r="H154" s="16">
        <f t="shared" si="2"/>
        <v>153</v>
      </c>
      <c r="I154" s="33"/>
    </row>
    <row r="155" spans="1:9" ht="12.75" x14ac:dyDescent="0.2">
      <c r="A155" s="16">
        <v>154</v>
      </c>
      <c r="B155" s="33"/>
      <c r="C155" s="33"/>
      <c r="D155" s="33"/>
      <c r="E155" s="33"/>
      <c r="F155" s="62"/>
      <c r="G155" s="63"/>
      <c r="H155" s="16">
        <f t="shared" si="2"/>
        <v>154</v>
      </c>
      <c r="I155" s="33"/>
    </row>
    <row r="156" spans="1:9" ht="12.75" x14ac:dyDescent="0.2">
      <c r="A156" s="16">
        <v>155</v>
      </c>
      <c r="B156" s="33"/>
      <c r="C156" s="33"/>
      <c r="D156" s="33"/>
      <c r="E156" s="33"/>
      <c r="F156" s="62"/>
      <c r="G156" s="63"/>
      <c r="H156" s="16">
        <f t="shared" si="2"/>
        <v>155</v>
      </c>
      <c r="I156" s="33"/>
    </row>
    <row r="157" spans="1:9" ht="12.75" x14ac:dyDescent="0.2">
      <c r="A157" s="16">
        <v>156</v>
      </c>
      <c r="B157" s="33"/>
      <c r="C157" s="33"/>
      <c r="D157" s="33"/>
      <c r="E157" s="33"/>
      <c r="F157" s="62"/>
      <c r="G157" s="63"/>
      <c r="H157" s="16">
        <f t="shared" si="2"/>
        <v>156</v>
      </c>
      <c r="I157" s="33"/>
    </row>
    <row r="158" spans="1:9" ht="12.75" x14ac:dyDescent="0.2">
      <c r="A158" s="16">
        <v>157</v>
      </c>
      <c r="B158" s="33"/>
      <c r="C158" s="33"/>
      <c r="D158" s="33"/>
      <c r="E158" s="33"/>
      <c r="F158" s="62"/>
      <c r="G158" s="63"/>
      <c r="H158" s="16">
        <f t="shared" si="2"/>
        <v>157</v>
      </c>
      <c r="I158" s="33"/>
    </row>
    <row r="159" spans="1:9" ht="12.75" x14ac:dyDescent="0.2">
      <c r="A159" s="16">
        <v>158</v>
      </c>
      <c r="B159" s="33"/>
      <c r="C159" s="33"/>
      <c r="D159" s="33"/>
      <c r="E159" s="33"/>
      <c r="F159" s="62"/>
      <c r="G159" s="63"/>
      <c r="H159" s="16">
        <f t="shared" si="2"/>
        <v>158</v>
      </c>
      <c r="I159" s="33"/>
    </row>
    <row r="160" spans="1:9" ht="12.75" x14ac:dyDescent="0.2">
      <c r="A160" s="16">
        <v>159</v>
      </c>
      <c r="B160" s="33"/>
      <c r="C160" s="33"/>
      <c r="D160" s="33"/>
      <c r="E160" s="33"/>
      <c r="F160" s="62"/>
      <c r="G160" s="63"/>
      <c r="H160" s="16">
        <f t="shared" si="2"/>
        <v>159</v>
      </c>
      <c r="I160" s="33"/>
    </row>
    <row r="161" spans="1:9" ht="12.75" x14ac:dyDescent="0.2">
      <c r="A161" s="16">
        <v>160</v>
      </c>
      <c r="B161" s="33"/>
      <c r="C161" s="33"/>
      <c r="D161" s="33"/>
      <c r="E161" s="33"/>
      <c r="F161" s="62"/>
      <c r="G161" s="63"/>
      <c r="H161" s="16">
        <f t="shared" si="2"/>
        <v>160</v>
      </c>
      <c r="I161" s="33"/>
    </row>
    <row r="162" spans="1:9" ht="12.75" x14ac:dyDescent="0.2">
      <c r="A162" s="16">
        <v>161</v>
      </c>
      <c r="B162" s="33"/>
      <c r="C162" s="33"/>
      <c r="D162" s="33"/>
      <c r="E162" s="33"/>
      <c r="F162" s="62"/>
      <c r="G162" s="63"/>
      <c r="H162" s="16">
        <f t="shared" si="2"/>
        <v>161</v>
      </c>
      <c r="I162" s="33"/>
    </row>
    <row r="163" spans="1:9" ht="12.75" x14ac:dyDescent="0.2">
      <c r="A163" s="16">
        <v>162</v>
      </c>
      <c r="B163" s="33"/>
      <c r="C163" s="33"/>
      <c r="D163" s="33"/>
      <c r="E163" s="33"/>
      <c r="F163" s="62"/>
      <c r="G163" s="63"/>
      <c r="H163" s="16">
        <f t="shared" si="2"/>
        <v>162</v>
      </c>
      <c r="I163" s="33"/>
    </row>
    <row r="164" spans="1:9" ht="12.75" x14ac:dyDescent="0.2">
      <c r="A164" s="16">
        <v>163</v>
      </c>
      <c r="B164" s="33"/>
      <c r="C164" s="33"/>
      <c r="D164" s="33"/>
      <c r="E164" s="33"/>
      <c r="F164" s="62"/>
      <c r="G164" s="63"/>
      <c r="H164" s="16">
        <f t="shared" si="2"/>
        <v>163</v>
      </c>
      <c r="I164" s="33"/>
    </row>
    <row r="165" spans="1:9" ht="12.75" x14ac:dyDescent="0.2">
      <c r="A165" s="16">
        <v>164</v>
      </c>
      <c r="B165" s="33"/>
      <c r="C165" s="33"/>
      <c r="D165" s="33"/>
      <c r="E165" s="33"/>
      <c r="F165" s="62"/>
      <c r="G165" s="63"/>
      <c r="H165" s="16">
        <f t="shared" si="2"/>
        <v>164</v>
      </c>
      <c r="I165" s="33"/>
    </row>
    <row r="166" spans="1:9" ht="12.75" x14ac:dyDescent="0.2">
      <c r="A166" s="16">
        <v>165</v>
      </c>
      <c r="B166" s="33"/>
      <c r="C166" s="33"/>
      <c r="D166" s="33"/>
      <c r="E166" s="33"/>
      <c r="F166" s="62"/>
      <c r="G166" s="63"/>
      <c r="H166" s="16">
        <f t="shared" si="2"/>
        <v>165</v>
      </c>
      <c r="I166" s="33"/>
    </row>
    <row r="167" spans="1:9" ht="12.75" x14ac:dyDescent="0.2">
      <c r="A167" s="16">
        <v>166</v>
      </c>
      <c r="B167" s="33"/>
      <c r="C167" s="33"/>
      <c r="D167" s="33"/>
      <c r="E167" s="33"/>
      <c r="F167" s="62"/>
      <c r="G167" s="63"/>
      <c r="H167" s="16">
        <f t="shared" si="2"/>
        <v>166</v>
      </c>
      <c r="I167" s="33"/>
    </row>
    <row r="168" spans="1:9" ht="12.75" x14ac:dyDescent="0.2">
      <c r="A168" s="16">
        <v>167</v>
      </c>
      <c r="B168" s="33"/>
      <c r="C168" s="33"/>
      <c r="D168" s="33"/>
      <c r="E168" s="33"/>
      <c r="F168" s="62"/>
      <c r="G168" s="63"/>
      <c r="H168" s="16">
        <f t="shared" si="2"/>
        <v>167</v>
      </c>
      <c r="I168" s="33"/>
    </row>
    <row r="169" spans="1:9" ht="12.75" x14ac:dyDescent="0.2">
      <c r="A169" s="16">
        <v>168</v>
      </c>
      <c r="B169" s="33"/>
      <c r="C169" s="33"/>
      <c r="D169" s="33"/>
      <c r="E169" s="33"/>
      <c r="F169" s="62"/>
      <c r="G169" s="63"/>
      <c r="H169" s="16">
        <f t="shared" si="2"/>
        <v>168</v>
      </c>
      <c r="I169" s="33"/>
    </row>
    <row r="170" spans="1:9" ht="12.75" x14ac:dyDescent="0.2">
      <c r="A170" s="16">
        <v>169</v>
      </c>
      <c r="B170" s="33"/>
      <c r="C170" s="33"/>
      <c r="D170" s="33"/>
      <c r="E170" s="33"/>
      <c r="F170" s="62"/>
      <c r="G170" s="63"/>
      <c r="H170" s="16">
        <f t="shared" si="2"/>
        <v>169</v>
      </c>
      <c r="I170" s="33"/>
    </row>
    <row r="171" spans="1:9" ht="12.75" x14ac:dyDescent="0.2">
      <c r="A171" s="16">
        <v>170</v>
      </c>
      <c r="B171" s="33"/>
      <c r="C171" s="33"/>
      <c r="D171" s="33"/>
      <c r="E171" s="33"/>
      <c r="F171" s="62"/>
      <c r="G171" s="63"/>
      <c r="H171" s="16">
        <f t="shared" si="2"/>
        <v>170</v>
      </c>
      <c r="I171" s="33"/>
    </row>
    <row r="172" spans="1:9" ht="12.75" x14ac:dyDescent="0.2">
      <c r="A172" s="16">
        <v>171</v>
      </c>
      <c r="B172" s="33"/>
      <c r="C172" s="33"/>
      <c r="D172" s="33"/>
      <c r="E172" s="33"/>
      <c r="F172" s="62"/>
      <c r="G172" s="63"/>
      <c r="H172" s="16">
        <f t="shared" si="2"/>
        <v>171</v>
      </c>
      <c r="I172" s="33"/>
    </row>
    <row r="173" spans="1:9" ht="12.75" x14ac:dyDescent="0.2">
      <c r="A173" s="16">
        <v>172</v>
      </c>
      <c r="B173" s="33"/>
      <c r="C173" s="33"/>
      <c r="D173" s="33"/>
      <c r="E173" s="33"/>
      <c r="F173" s="62"/>
      <c r="G173" s="63"/>
      <c r="H173" s="16">
        <f t="shared" si="2"/>
        <v>172</v>
      </c>
      <c r="I173" s="33"/>
    </row>
    <row r="174" spans="1:9" ht="12.75" x14ac:dyDescent="0.2">
      <c r="A174" s="16">
        <v>173</v>
      </c>
      <c r="B174" s="33"/>
      <c r="C174" s="33"/>
      <c r="D174" s="33"/>
      <c r="E174" s="33"/>
      <c r="F174" s="62"/>
      <c r="G174" s="63"/>
      <c r="H174" s="16">
        <f t="shared" si="2"/>
        <v>173</v>
      </c>
      <c r="I174" s="33"/>
    </row>
    <row r="175" spans="1:9" ht="12.75" x14ac:dyDescent="0.2">
      <c r="A175" s="16">
        <v>174</v>
      </c>
      <c r="B175" s="33"/>
      <c r="C175" s="33"/>
      <c r="D175" s="33"/>
      <c r="E175" s="33"/>
      <c r="F175" s="62"/>
      <c r="G175" s="63"/>
      <c r="H175" s="16">
        <f t="shared" si="2"/>
        <v>174</v>
      </c>
      <c r="I175" s="33"/>
    </row>
    <row r="176" spans="1:9" ht="12.75" x14ac:dyDescent="0.2">
      <c r="A176" s="16">
        <v>175</v>
      </c>
      <c r="B176" s="33"/>
      <c r="C176" s="33"/>
      <c r="D176" s="33"/>
      <c r="E176" s="33"/>
      <c r="F176" s="62"/>
      <c r="G176" s="63"/>
      <c r="H176" s="16">
        <f t="shared" si="2"/>
        <v>175</v>
      </c>
      <c r="I176" s="33"/>
    </row>
    <row r="177" spans="1:9" ht="12.75" x14ac:dyDescent="0.2">
      <c r="A177" s="16">
        <v>176</v>
      </c>
      <c r="B177" s="33"/>
      <c r="C177" s="33"/>
      <c r="D177" s="33"/>
      <c r="E177" s="33"/>
      <c r="F177" s="62"/>
      <c r="G177" s="63"/>
      <c r="H177" s="16">
        <f t="shared" si="2"/>
        <v>176</v>
      </c>
      <c r="I177" s="33"/>
    </row>
    <row r="178" spans="1:9" ht="12.75" x14ac:dyDescent="0.2">
      <c r="A178" s="16">
        <v>177</v>
      </c>
      <c r="B178" s="33"/>
      <c r="C178" s="33"/>
      <c r="D178" s="33"/>
      <c r="E178" s="33"/>
      <c r="F178" s="62"/>
      <c r="G178" s="63"/>
      <c r="H178" s="16">
        <f t="shared" si="2"/>
        <v>177</v>
      </c>
      <c r="I178" s="33"/>
    </row>
    <row r="179" spans="1:9" ht="12.75" x14ac:dyDescent="0.2">
      <c r="A179" s="16">
        <v>178</v>
      </c>
      <c r="B179" s="33"/>
      <c r="C179" s="33"/>
      <c r="D179" s="33"/>
      <c r="E179" s="33"/>
      <c r="F179" s="62"/>
      <c r="G179" s="63"/>
      <c r="H179" s="16">
        <f t="shared" si="2"/>
        <v>178</v>
      </c>
      <c r="I179" s="33"/>
    </row>
    <row r="180" spans="1:9" ht="12.75" x14ac:dyDescent="0.2">
      <c r="A180" s="16">
        <v>179</v>
      </c>
      <c r="B180" s="33"/>
      <c r="C180" s="33"/>
      <c r="D180" s="33"/>
      <c r="E180" s="33"/>
      <c r="F180" s="62"/>
      <c r="G180" s="63"/>
      <c r="H180" s="16">
        <f t="shared" si="2"/>
        <v>179</v>
      </c>
      <c r="I180" s="33"/>
    </row>
    <row r="181" spans="1:9" ht="12.75" x14ac:dyDescent="0.2">
      <c r="A181" s="16">
        <v>180</v>
      </c>
      <c r="B181" s="33"/>
      <c r="C181" s="33"/>
      <c r="D181" s="33"/>
      <c r="E181" s="33"/>
      <c r="F181" s="62"/>
      <c r="G181" s="63"/>
      <c r="H181" s="16">
        <f t="shared" si="2"/>
        <v>180</v>
      </c>
      <c r="I181" s="33"/>
    </row>
    <row r="182" spans="1:9" ht="12.75" x14ac:dyDescent="0.2">
      <c r="A182" s="16">
        <v>181</v>
      </c>
      <c r="B182" s="33"/>
      <c r="C182" s="33"/>
      <c r="D182" s="33"/>
      <c r="E182" s="33"/>
      <c r="F182" s="62"/>
      <c r="G182" s="63"/>
      <c r="H182" s="16">
        <f t="shared" si="2"/>
        <v>181</v>
      </c>
      <c r="I182" s="33"/>
    </row>
    <row r="183" spans="1:9" ht="12.75" x14ac:dyDescent="0.2">
      <c r="A183" s="16">
        <v>182</v>
      </c>
      <c r="B183" s="33"/>
      <c r="C183" s="33"/>
      <c r="D183" s="33"/>
      <c r="E183" s="33"/>
      <c r="F183" s="62"/>
      <c r="G183" s="63"/>
      <c r="H183" s="16">
        <f t="shared" si="2"/>
        <v>182</v>
      </c>
      <c r="I183" s="33"/>
    </row>
    <row r="184" spans="1:9" ht="12.75" x14ac:dyDescent="0.2">
      <c r="A184" s="16">
        <v>183</v>
      </c>
      <c r="B184" s="33"/>
      <c r="C184" s="33"/>
      <c r="D184" s="33"/>
      <c r="E184" s="33"/>
      <c r="F184" s="62"/>
      <c r="G184" s="63"/>
      <c r="H184" s="16">
        <f t="shared" si="2"/>
        <v>183</v>
      </c>
      <c r="I184" s="33"/>
    </row>
    <row r="185" spans="1:9" ht="12.75" x14ac:dyDescent="0.2">
      <c r="A185" s="16">
        <v>184</v>
      </c>
      <c r="B185" s="33"/>
      <c r="C185" s="33"/>
      <c r="D185" s="33"/>
      <c r="E185" s="33"/>
      <c r="F185" s="62"/>
      <c r="G185" s="63"/>
      <c r="H185" s="16">
        <f t="shared" si="2"/>
        <v>184</v>
      </c>
      <c r="I185" s="33"/>
    </row>
    <row r="186" spans="1:9" ht="12.75" x14ac:dyDescent="0.2">
      <c r="A186" s="16">
        <v>185</v>
      </c>
      <c r="B186" s="33"/>
      <c r="C186" s="33"/>
      <c r="D186" s="33"/>
      <c r="E186" s="33"/>
      <c r="F186" s="62"/>
      <c r="G186" s="63"/>
      <c r="H186" s="16">
        <f t="shared" si="2"/>
        <v>185</v>
      </c>
      <c r="I186" s="33"/>
    </row>
    <row r="187" spans="1:9" ht="12.75" x14ac:dyDescent="0.2">
      <c r="A187" s="16">
        <v>186</v>
      </c>
      <c r="B187" s="33"/>
      <c r="C187" s="33"/>
      <c r="D187" s="33"/>
      <c r="E187" s="33"/>
      <c r="F187" s="62"/>
      <c r="G187" s="63"/>
      <c r="H187" s="16">
        <f t="shared" si="2"/>
        <v>186</v>
      </c>
      <c r="I187" s="33"/>
    </row>
    <row r="188" spans="1:9" ht="12.75" x14ac:dyDescent="0.2">
      <c r="A188" s="16">
        <v>187</v>
      </c>
      <c r="B188" s="33"/>
      <c r="C188" s="33"/>
      <c r="D188" s="33"/>
      <c r="E188" s="33"/>
      <c r="F188" s="62"/>
      <c r="G188" s="63"/>
      <c r="H188" s="16">
        <f t="shared" si="2"/>
        <v>187</v>
      </c>
      <c r="I188" s="33"/>
    </row>
    <row r="189" spans="1:9" ht="12.75" x14ac:dyDescent="0.2">
      <c r="A189" s="16">
        <v>188</v>
      </c>
      <c r="B189" s="33"/>
      <c r="C189" s="33"/>
      <c r="D189" s="33"/>
      <c r="E189" s="33"/>
      <c r="F189" s="62"/>
      <c r="G189" s="63"/>
      <c r="H189" s="16">
        <f t="shared" si="2"/>
        <v>188</v>
      </c>
      <c r="I189" s="33"/>
    </row>
    <row r="190" spans="1:9" ht="12.75" x14ac:dyDescent="0.2">
      <c r="A190" s="16">
        <v>189</v>
      </c>
      <c r="B190" s="33"/>
      <c r="C190" s="33"/>
      <c r="D190" s="33"/>
      <c r="E190" s="33"/>
      <c r="F190" s="62"/>
      <c r="G190" s="63"/>
      <c r="H190" s="16">
        <f t="shared" si="2"/>
        <v>189</v>
      </c>
      <c r="I190" s="33"/>
    </row>
    <row r="191" spans="1:9" ht="12.75" x14ac:dyDescent="0.2">
      <c r="A191" s="16">
        <v>190</v>
      </c>
      <c r="B191" s="33"/>
      <c r="C191" s="33"/>
      <c r="D191" s="33"/>
      <c r="E191" s="33"/>
      <c r="F191" s="62"/>
      <c r="G191" s="63"/>
      <c r="H191" s="16">
        <f t="shared" si="2"/>
        <v>190</v>
      </c>
      <c r="I191" s="33"/>
    </row>
    <row r="192" spans="1:9" ht="12.75" x14ac:dyDescent="0.2">
      <c r="A192" s="16">
        <v>191</v>
      </c>
      <c r="B192" s="33"/>
      <c r="C192" s="33"/>
      <c r="D192" s="33"/>
      <c r="E192" s="33"/>
      <c r="F192" s="62"/>
      <c r="G192" s="63"/>
      <c r="H192" s="16">
        <f t="shared" si="2"/>
        <v>191</v>
      </c>
      <c r="I192" s="33"/>
    </row>
    <row r="193" spans="1:9" ht="12.75" x14ac:dyDescent="0.2">
      <c r="A193" s="16">
        <v>192</v>
      </c>
      <c r="B193" s="33"/>
      <c r="C193" s="33"/>
      <c r="D193" s="33"/>
      <c r="E193" s="33"/>
      <c r="F193" s="62"/>
      <c r="G193" s="63"/>
      <c r="H193" s="16">
        <f t="shared" si="2"/>
        <v>192</v>
      </c>
      <c r="I193" s="33"/>
    </row>
    <row r="194" spans="1:9" ht="12.75" x14ac:dyDescent="0.2">
      <c r="A194" s="16">
        <v>193</v>
      </c>
      <c r="B194" s="33"/>
      <c r="C194" s="33"/>
      <c r="D194" s="33"/>
      <c r="E194" s="33"/>
      <c r="F194" s="62"/>
      <c r="G194" s="63"/>
      <c r="H194" s="16">
        <f t="shared" si="2"/>
        <v>193</v>
      </c>
      <c r="I194" s="33"/>
    </row>
    <row r="195" spans="1:9" ht="12.75" x14ac:dyDescent="0.2">
      <c r="A195" s="16">
        <v>194</v>
      </c>
      <c r="B195" s="33"/>
      <c r="C195" s="33"/>
      <c r="D195" s="33"/>
      <c r="E195" s="33"/>
      <c r="F195" s="62"/>
      <c r="G195" s="63"/>
      <c r="H195" s="16">
        <f t="shared" ref="H195:H258" si="3">A195</f>
        <v>194</v>
      </c>
      <c r="I195" s="33"/>
    </row>
    <row r="196" spans="1:9" ht="12.75" x14ac:dyDescent="0.2">
      <c r="A196" s="16">
        <v>195</v>
      </c>
      <c r="B196" s="33"/>
      <c r="C196" s="33"/>
      <c r="D196" s="33"/>
      <c r="E196" s="33"/>
      <c r="F196" s="62"/>
      <c r="G196" s="63"/>
      <c r="H196" s="16">
        <f t="shared" si="3"/>
        <v>195</v>
      </c>
      <c r="I196" s="33"/>
    </row>
    <row r="197" spans="1:9" ht="12.75" x14ac:dyDescent="0.2">
      <c r="A197" s="16">
        <v>196</v>
      </c>
      <c r="B197" s="33"/>
      <c r="C197" s="33"/>
      <c r="D197" s="33"/>
      <c r="E197" s="33"/>
      <c r="F197" s="62"/>
      <c r="G197" s="63"/>
      <c r="H197" s="16">
        <f t="shared" si="3"/>
        <v>196</v>
      </c>
      <c r="I197" s="33"/>
    </row>
    <row r="198" spans="1:9" ht="12.75" x14ac:dyDescent="0.2">
      <c r="A198" s="16">
        <v>197</v>
      </c>
      <c r="B198" s="33"/>
      <c r="C198" s="33"/>
      <c r="D198" s="33"/>
      <c r="E198" s="33"/>
      <c r="F198" s="62"/>
      <c r="G198" s="63"/>
      <c r="H198" s="16">
        <f t="shared" si="3"/>
        <v>197</v>
      </c>
      <c r="I198" s="33"/>
    </row>
    <row r="199" spans="1:9" ht="12.75" x14ac:dyDescent="0.2">
      <c r="A199" s="16">
        <v>198</v>
      </c>
      <c r="B199" s="33"/>
      <c r="C199" s="33"/>
      <c r="D199" s="33"/>
      <c r="E199" s="33"/>
      <c r="F199" s="62"/>
      <c r="G199" s="63"/>
      <c r="H199" s="16">
        <f t="shared" si="3"/>
        <v>198</v>
      </c>
      <c r="I199" s="33"/>
    </row>
    <row r="200" spans="1:9" ht="12.75" x14ac:dyDescent="0.2">
      <c r="A200" s="16">
        <v>199</v>
      </c>
      <c r="B200" s="33"/>
      <c r="C200" s="33"/>
      <c r="D200" s="33"/>
      <c r="E200" s="33"/>
      <c r="F200" s="62"/>
      <c r="G200" s="63"/>
      <c r="H200" s="16">
        <f t="shared" si="3"/>
        <v>199</v>
      </c>
      <c r="I200" s="33"/>
    </row>
    <row r="201" spans="1:9" ht="12.75" x14ac:dyDescent="0.2">
      <c r="A201" s="16">
        <v>200</v>
      </c>
      <c r="B201" s="33"/>
      <c r="C201" s="33"/>
      <c r="D201" s="33"/>
      <c r="E201" s="33"/>
      <c r="F201" s="62"/>
      <c r="G201" s="63"/>
      <c r="H201" s="16">
        <f t="shared" si="3"/>
        <v>200</v>
      </c>
      <c r="I201" s="33"/>
    </row>
    <row r="202" spans="1:9" ht="12.75" x14ac:dyDescent="0.2">
      <c r="A202" s="16">
        <v>201</v>
      </c>
      <c r="B202" s="33"/>
      <c r="C202" s="33"/>
      <c r="D202" s="33"/>
      <c r="E202" s="33"/>
      <c r="F202" s="62"/>
      <c r="G202" s="63"/>
      <c r="H202" s="16">
        <f t="shared" si="3"/>
        <v>201</v>
      </c>
      <c r="I202" s="33"/>
    </row>
    <row r="203" spans="1:9" ht="12.75" x14ac:dyDescent="0.2">
      <c r="A203" s="16">
        <v>202</v>
      </c>
      <c r="B203" s="33"/>
      <c r="C203" s="33"/>
      <c r="D203" s="33"/>
      <c r="E203" s="33"/>
      <c r="F203" s="62"/>
      <c r="G203" s="63"/>
      <c r="H203" s="16">
        <f t="shared" si="3"/>
        <v>202</v>
      </c>
      <c r="I203" s="33"/>
    </row>
    <row r="204" spans="1:9" ht="12.75" x14ac:dyDescent="0.2">
      <c r="A204" s="16">
        <v>203</v>
      </c>
      <c r="B204" s="33"/>
      <c r="C204" s="33"/>
      <c r="D204" s="33"/>
      <c r="E204" s="33"/>
      <c r="F204" s="62"/>
      <c r="G204" s="63"/>
      <c r="H204" s="16">
        <f t="shared" si="3"/>
        <v>203</v>
      </c>
      <c r="I204" s="33"/>
    </row>
    <row r="205" spans="1:9" ht="12.75" x14ac:dyDescent="0.2">
      <c r="A205" s="16">
        <v>204</v>
      </c>
      <c r="B205" s="33"/>
      <c r="C205" s="33"/>
      <c r="D205" s="33"/>
      <c r="E205" s="33"/>
      <c r="F205" s="62"/>
      <c r="G205" s="63"/>
      <c r="H205" s="16">
        <f t="shared" si="3"/>
        <v>204</v>
      </c>
      <c r="I205" s="33"/>
    </row>
    <row r="206" spans="1:9" ht="12.75" x14ac:dyDescent="0.2">
      <c r="A206" s="16">
        <v>205</v>
      </c>
      <c r="B206" s="33"/>
      <c r="C206" s="33"/>
      <c r="D206" s="33"/>
      <c r="E206" s="33"/>
      <c r="F206" s="62"/>
      <c r="G206" s="63"/>
      <c r="H206" s="16">
        <f t="shared" si="3"/>
        <v>205</v>
      </c>
      <c r="I206" s="33"/>
    </row>
    <row r="207" spans="1:9" ht="12.75" x14ac:dyDescent="0.2">
      <c r="A207" s="16">
        <v>206</v>
      </c>
      <c r="B207" s="33"/>
      <c r="C207" s="33"/>
      <c r="D207" s="33"/>
      <c r="E207" s="33"/>
      <c r="F207" s="62"/>
      <c r="G207" s="63"/>
      <c r="H207" s="16">
        <f t="shared" si="3"/>
        <v>206</v>
      </c>
      <c r="I207" s="33"/>
    </row>
    <row r="208" spans="1:9" ht="12.75" x14ac:dyDescent="0.2">
      <c r="A208" s="16">
        <v>207</v>
      </c>
      <c r="B208" s="33"/>
      <c r="C208" s="33"/>
      <c r="D208" s="33"/>
      <c r="E208" s="33"/>
      <c r="F208" s="62"/>
      <c r="G208" s="63"/>
      <c r="H208" s="16">
        <f t="shared" si="3"/>
        <v>207</v>
      </c>
      <c r="I208" s="33"/>
    </row>
    <row r="209" spans="1:9" ht="12.75" x14ac:dyDescent="0.2">
      <c r="A209" s="16">
        <v>208</v>
      </c>
      <c r="B209" s="33"/>
      <c r="C209" s="33"/>
      <c r="D209" s="33"/>
      <c r="E209" s="33"/>
      <c r="F209" s="62"/>
      <c r="G209" s="63"/>
      <c r="H209" s="16">
        <f t="shared" si="3"/>
        <v>208</v>
      </c>
      <c r="I209" s="33"/>
    </row>
    <row r="210" spans="1:9" ht="12.75" x14ac:dyDescent="0.2">
      <c r="A210" s="16">
        <v>209</v>
      </c>
      <c r="B210" s="33"/>
      <c r="C210" s="33"/>
      <c r="D210" s="33"/>
      <c r="E210" s="33"/>
      <c r="F210" s="62"/>
      <c r="G210" s="63"/>
      <c r="H210" s="16">
        <f t="shared" si="3"/>
        <v>209</v>
      </c>
      <c r="I210" s="33"/>
    </row>
    <row r="211" spans="1:9" ht="12.75" x14ac:dyDescent="0.2">
      <c r="A211" s="16">
        <v>210</v>
      </c>
      <c r="B211" s="33"/>
      <c r="C211" s="33"/>
      <c r="D211" s="33"/>
      <c r="E211" s="33"/>
      <c r="F211" s="62"/>
      <c r="G211" s="63"/>
      <c r="H211" s="16">
        <f t="shared" si="3"/>
        <v>210</v>
      </c>
      <c r="I211" s="33"/>
    </row>
    <row r="212" spans="1:9" ht="12.75" x14ac:dyDescent="0.2">
      <c r="A212" s="16">
        <v>211</v>
      </c>
      <c r="B212" s="33"/>
      <c r="C212" s="33"/>
      <c r="D212" s="33"/>
      <c r="E212" s="33"/>
      <c r="F212" s="62"/>
      <c r="G212" s="63"/>
      <c r="H212" s="16">
        <f t="shared" si="3"/>
        <v>211</v>
      </c>
      <c r="I212" s="33"/>
    </row>
    <row r="213" spans="1:9" ht="12.75" x14ac:dyDescent="0.2">
      <c r="A213" s="16">
        <v>212</v>
      </c>
      <c r="B213" s="33"/>
      <c r="C213" s="33"/>
      <c r="D213" s="33"/>
      <c r="E213" s="33"/>
      <c r="F213" s="62"/>
      <c r="G213" s="63"/>
      <c r="H213" s="16">
        <f t="shared" si="3"/>
        <v>212</v>
      </c>
      <c r="I213" s="33"/>
    </row>
    <row r="214" spans="1:9" ht="12.75" x14ac:dyDescent="0.2">
      <c r="A214" s="16">
        <v>213</v>
      </c>
      <c r="B214" s="33"/>
      <c r="C214" s="33"/>
      <c r="D214" s="33"/>
      <c r="E214" s="33"/>
      <c r="F214" s="62"/>
      <c r="G214" s="63"/>
      <c r="H214" s="16">
        <f t="shared" si="3"/>
        <v>213</v>
      </c>
      <c r="I214" s="33"/>
    </row>
    <row r="215" spans="1:9" ht="12.75" x14ac:dyDescent="0.2">
      <c r="A215" s="16">
        <v>214</v>
      </c>
      <c r="B215" s="33"/>
      <c r="C215" s="33"/>
      <c r="D215" s="33"/>
      <c r="E215" s="33"/>
      <c r="F215" s="62"/>
      <c r="G215" s="63"/>
      <c r="H215" s="16">
        <f t="shared" si="3"/>
        <v>214</v>
      </c>
      <c r="I215" s="33"/>
    </row>
    <row r="216" spans="1:9" ht="12.75" x14ac:dyDescent="0.2">
      <c r="A216" s="16">
        <v>215</v>
      </c>
      <c r="B216" s="33"/>
      <c r="C216" s="33"/>
      <c r="D216" s="33"/>
      <c r="E216" s="33"/>
      <c r="F216" s="62"/>
      <c r="G216" s="63"/>
      <c r="H216" s="16">
        <f t="shared" si="3"/>
        <v>215</v>
      </c>
      <c r="I216" s="33"/>
    </row>
    <row r="217" spans="1:9" ht="12.75" x14ac:dyDescent="0.2">
      <c r="A217" s="16">
        <v>216</v>
      </c>
      <c r="B217" s="33"/>
      <c r="C217" s="33"/>
      <c r="D217" s="33"/>
      <c r="E217" s="33"/>
      <c r="F217" s="62"/>
      <c r="G217" s="63"/>
      <c r="H217" s="16">
        <f t="shared" si="3"/>
        <v>216</v>
      </c>
      <c r="I217" s="33"/>
    </row>
    <row r="218" spans="1:9" ht="12.75" x14ac:dyDescent="0.2">
      <c r="A218" s="16">
        <v>217</v>
      </c>
      <c r="B218" s="33"/>
      <c r="C218" s="33"/>
      <c r="D218" s="33"/>
      <c r="E218" s="33"/>
      <c r="F218" s="62"/>
      <c r="G218" s="63"/>
      <c r="H218" s="16">
        <f t="shared" si="3"/>
        <v>217</v>
      </c>
      <c r="I218" s="33"/>
    </row>
    <row r="219" spans="1:9" ht="12.75" x14ac:dyDescent="0.2">
      <c r="A219" s="16">
        <v>218</v>
      </c>
      <c r="B219" s="33"/>
      <c r="C219" s="33"/>
      <c r="D219" s="33"/>
      <c r="E219" s="33"/>
      <c r="F219" s="62"/>
      <c r="G219" s="63"/>
      <c r="H219" s="16">
        <f t="shared" si="3"/>
        <v>218</v>
      </c>
      <c r="I219" s="33"/>
    </row>
    <row r="220" spans="1:9" ht="12.75" x14ac:dyDescent="0.2">
      <c r="A220" s="16">
        <v>219</v>
      </c>
      <c r="B220" s="33"/>
      <c r="C220" s="33"/>
      <c r="D220" s="33"/>
      <c r="E220" s="33"/>
      <c r="F220" s="62"/>
      <c r="G220" s="63"/>
      <c r="H220" s="16">
        <f t="shared" si="3"/>
        <v>219</v>
      </c>
      <c r="I220" s="33"/>
    </row>
    <row r="221" spans="1:9" ht="12.75" x14ac:dyDescent="0.2">
      <c r="A221" s="16">
        <v>220</v>
      </c>
      <c r="B221" s="33"/>
      <c r="C221" s="33"/>
      <c r="D221" s="33"/>
      <c r="E221" s="33"/>
      <c r="F221" s="62"/>
      <c r="G221" s="63"/>
      <c r="H221" s="16">
        <f t="shared" si="3"/>
        <v>220</v>
      </c>
      <c r="I221" s="33"/>
    </row>
    <row r="222" spans="1:9" ht="12.75" x14ac:dyDescent="0.2">
      <c r="A222" s="16">
        <v>221</v>
      </c>
      <c r="B222" s="33"/>
      <c r="C222" s="33"/>
      <c r="D222" s="33"/>
      <c r="E222" s="33"/>
      <c r="F222" s="62"/>
      <c r="G222" s="63"/>
      <c r="H222" s="16">
        <f t="shared" si="3"/>
        <v>221</v>
      </c>
      <c r="I222" s="33"/>
    </row>
    <row r="223" spans="1:9" ht="12.75" x14ac:dyDescent="0.2">
      <c r="A223" s="16">
        <v>222</v>
      </c>
      <c r="B223" s="33"/>
      <c r="C223" s="33"/>
      <c r="D223" s="33"/>
      <c r="E223" s="33"/>
      <c r="F223" s="62"/>
      <c r="G223" s="63"/>
      <c r="H223" s="16">
        <f t="shared" si="3"/>
        <v>222</v>
      </c>
      <c r="I223" s="33"/>
    </row>
    <row r="224" spans="1:9" ht="12.75" x14ac:dyDescent="0.2">
      <c r="A224" s="16">
        <v>223</v>
      </c>
      <c r="B224" s="33"/>
      <c r="C224" s="33"/>
      <c r="D224" s="33"/>
      <c r="E224" s="33"/>
      <c r="F224" s="62"/>
      <c r="G224" s="63"/>
      <c r="H224" s="16">
        <f t="shared" si="3"/>
        <v>223</v>
      </c>
      <c r="I224" s="33"/>
    </row>
    <row r="225" spans="1:9" ht="12.75" x14ac:dyDescent="0.2">
      <c r="A225" s="16">
        <v>224</v>
      </c>
      <c r="B225" s="33"/>
      <c r="C225" s="33"/>
      <c r="D225" s="33"/>
      <c r="E225" s="33"/>
      <c r="F225" s="62"/>
      <c r="G225" s="63"/>
      <c r="H225" s="16">
        <f t="shared" si="3"/>
        <v>224</v>
      </c>
      <c r="I225" s="33"/>
    </row>
    <row r="226" spans="1:9" ht="12.75" x14ac:dyDescent="0.2">
      <c r="A226" s="16">
        <v>225</v>
      </c>
      <c r="B226" s="33"/>
      <c r="C226" s="33"/>
      <c r="D226" s="33"/>
      <c r="E226" s="33"/>
      <c r="F226" s="62"/>
      <c r="G226" s="63"/>
      <c r="H226" s="16">
        <f t="shared" si="3"/>
        <v>225</v>
      </c>
      <c r="I226" s="33"/>
    </row>
    <row r="227" spans="1:9" ht="12.75" x14ac:dyDescent="0.2">
      <c r="A227" s="16">
        <v>226</v>
      </c>
      <c r="B227" s="33"/>
      <c r="C227" s="33"/>
      <c r="D227" s="33"/>
      <c r="E227" s="33"/>
      <c r="F227" s="62"/>
      <c r="G227" s="63"/>
      <c r="H227" s="16">
        <f t="shared" si="3"/>
        <v>226</v>
      </c>
      <c r="I227" s="33"/>
    </row>
    <row r="228" spans="1:9" ht="12.75" x14ac:dyDescent="0.2">
      <c r="A228" s="16">
        <v>227</v>
      </c>
      <c r="B228" s="33"/>
      <c r="C228" s="33"/>
      <c r="D228" s="33"/>
      <c r="E228" s="33"/>
      <c r="F228" s="62"/>
      <c r="G228" s="63"/>
      <c r="H228" s="16">
        <f t="shared" si="3"/>
        <v>227</v>
      </c>
      <c r="I228" s="33"/>
    </row>
    <row r="229" spans="1:9" ht="12.75" x14ac:dyDescent="0.2">
      <c r="A229" s="16">
        <v>228</v>
      </c>
      <c r="B229" s="33"/>
      <c r="C229" s="33"/>
      <c r="D229" s="33"/>
      <c r="E229" s="33"/>
      <c r="F229" s="62"/>
      <c r="G229" s="63"/>
      <c r="H229" s="16">
        <f t="shared" si="3"/>
        <v>228</v>
      </c>
      <c r="I229" s="33"/>
    </row>
    <row r="230" spans="1:9" ht="12.75" x14ac:dyDescent="0.2">
      <c r="A230" s="16">
        <v>229</v>
      </c>
      <c r="B230" s="33"/>
      <c r="C230" s="33"/>
      <c r="D230" s="33"/>
      <c r="E230" s="33"/>
      <c r="F230" s="62"/>
      <c r="G230" s="63"/>
      <c r="H230" s="16">
        <f t="shared" si="3"/>
        <v>229</v>
      </c>
      <c r="I230" s="33"/>
    </row>
    <row r="231" spans="1:9" ht="12.75" x14ac:dyDescent="0.2">
      <c r="A231" s="16">
        <v>230</v>
      </c>
      <c r="B231" s="33"/>
      <c r="C231" s="33"/>
      <c r="D231" s="33"/>
      <c r="E231" s="33"/>
      <c r="F231" s="62"/>
      <c r="G231" s="63"/>
      <c r="H231" s="16">
        <f t="shared" si="3"/>
        <v>230</v>
      </c>
      <c r="I231" s="33"/>
    </row>
    <row r="232" spans="1:9" ht="12.75" x14ac:dyDescent="0.2">
      <c r="A232" s="16">
        <v>231</v>
      </c>
      <c r="B232" s="33"/>
      <c r="C232" s="33"/>
      <c r="D232" s="33"/>
      <c r="E232" s="33"/>
      <c r="F232" s="62"/>
      <c r="G232" s="63"/>
      <c r="H232" s="16">
        <f t="shared" si="3"/>
        <v>231</v>
      </c>
      <c r="I232" s="33"/>
    </row>
    <row r="233" spans="1:9" ht="12.75" x14ac:dyDescent="0.2">
      <c r="A233" s="16">
        <v>232</v>
      </c>
      <c r="B233" s="33"/>
      <c r="C233" s="33"/>
      <c r="D233" s="33"/>
      <c r="E233" s="33"/>
      <c r="F233" s="62"/>
      <c r="G233" s="63"/>
      <c r="H233" s="16">
        <f t="shared" si="3"/>
        <v>232</v>
      </c>
      <c r="I233" s="33"/>
    </row>
    <row r="234" spans="1:9" ht="12.75" x14ac:dyDescent="0.2">
      <c r="A234" s="16">
        <v>233</v>
      </c>
      <c r="B234" s="33"/>
      <c r="C234" s="33"/>
      <c r="D234" s="33"/>
      <c r="E234" s="33"/>
      <c r="F234" s="62"/>
      <c r="G234" s="63"/>
      <c r="H234" s="16">
        <f t="shared" si="3"/>
        <v>233</v>
      </c>
      <c r="I234" s="33"/>
    </row>
    <row r="235" spans="1:9" ht="12.75" x14ac:dyDescent="0.2">
      <c r="A235" s="16">
        <v>234</v>
      </c>
      <c r="B235" s="33"/>
      <c r="C235" s="33"/>
      <c r="D235" s="33"/>
      <c r="E235" s="33"/>
      <c r="F235" s="62"/>
      <c r="G235" s="63"/>
      <c r="H235" s="16">
        <f t="shared" si="3"/>
        <v>234</v>
      </c>
      <c r="I235" s="33"/>
    </row>
    <row r="236" spans="1:9" ht="12.75" x14ac:dyDescent="0.2">
      <c r="B236" s="17"/>
      <c r="C236" s="17"/>
      <c r="D236" s="17"/>
      <c r="E236" s="17"/>
      <c r="F236" s="19"/>
      <c r="G236" s="17"/>
      <c r="H236" s="16">
        <f t="shared" si="3"/>
        <v>0</v>
      </c>
    </row>
    <row r="237" spans="1:9" ht="12.75" x14ac:dyDescent="0.2">
      <c r="B237" s="17"/>
      <c r="C237" s="17"/>
      <c r="D237" s="17"/>
      <c r="E237" s="17"/>
      <c r="F237" s="19"/>
      <c r="G237" s="17"/>
      <c r="H237" s="16">
        <f t="shared" si="3"/>
        <v>0</v>
      </c>
    </row>
    <row r="238" spans="1:9" ht="12.75" x14ac:dyDescent="0.2">
      <c r="B238" s="17"/>
      <c r="C238" s="17"/>
      <c r="D238" s="17"/>
      <c r="E238" s="17"/>
      <c r="F238" s="19"/>
      <c r="G238" s="17"/>
      <c r="H238" s="16">
        <f t="shared" si="3"/>
        <v>0</v>
      </c>
    </row>
    <row r="239" spans="1:9" ht="12.75" x14ac:dyDescent="0.2">
      <c r="B239" s="17"/>
      <c r="C239" s="17"/>
      <c r="D239" s="17"/>
      <c r="E239" s="17"/>
      <c r="F239" s="19"/>
      <c r="G239" s="17"/>
      <c r="H239" s="16">
        <f t="shared" si="3"/>
        <v>0</v>
      </c>
    </row>
    <row r="240" spans="1:9" ht="12.75" x14ac:dyDescent="0.2">
      <c r="B240" s="17"/>
      <c r="C240" s="17"/>
      <c r="D240" s="17"/>
      <c r="E240" s="17"/>
      <c r="F240" s="19"/>
      <c r="G240" s="17"/>
      <c r="H240" s="16">
        <f t="shared" si="3"/>
        <v>0</v>
      </c>
    </row>
    <row r="241" spans="2:8" ht="12.75" x14ac:dyDescent="0.2">
      <c r="B241" s="17"/>
      <c r="C241" s="17"/>
      <c r="D241" s="17"/>
      <c r="E241" s="17"/>
      <c r="F241" s="19"/>
      <c r="G241" s="17"/>
      <c r="H241" s="16">
        <f t="shared" si="3"/>
        <v>0</v>
      </c>
    </row>
    <row r="242" spans="2:8" ht="12.75" x14ac:dyDescent="0.2">
      <c r="B242" s="17"/>
      <c r="C242" s="17"/>
      <c r="D242" s="17"/>
      <c r="E242" s="17"/>
      <c r="F242" s="19"/>
      <c r="G242" s="17"/>
      <c r="H242" s="16">
        <f t="shared" si="3"/>
        <v>0</v>
      </c>
    </row>
    <row r="243" spans="2:8" ht="12.75" x14ac:dyDescent="0.2">
      <c r="B243" s="17"/>
      <c r="C243" s="17"/>
      <c r="D243" s="17"/>
      <c r="E243" s="17"/>
      <c r="F243" s="19"/>
      <c r="G243" s="17"/>
      <c r="H243" s="16">
        <f t="shared" si="3"/>
        <v>0</v>
      </c>
    </row>
    <row r="244" spans="2:8" ht="12.75" x14ac:dyDescent="0.2">
      <c r="B244" s="17"/>
      <c r="C244" s="17"/>
      <c r="D244" s="17"/>
      <c r="E244" s="17"/>
      <c r="F244" s="19"/>
      <c r="G244" s="17"/>
      <c r="H244" s="16">
        <f t="shared" si="3"/>
        <v>0</v>
      </c>
    </row>
    <row r="245" spans="2:8" ht="12.75" x14ac:dyDescent="0.2">
      <c r="B245" s="17"/>
      <c r="C245" s="17"/>
      <c r="D245" s="17"/>
      <c r="E245" s="17"/>
      <c r="F245" s="19"/>
      <c r="G245" s="17"/>
      <c r="H245" s="16">
        <f t="shared" si="3"/>
        <v>0</v>
      </c>
    </row>
    <row r="246" spans="2:8" ht="12.75" x14ac:dyDescent="0.2">
      <c r="B246" s="17"/>
      <c r="C246" s="17"/>
      <c r="D246" s="17"/>
      <c r="E246" s="17"/>
      <c r="F246" s="19"/>
      <c r="G246" s="17"/>
      <c r="H246" s="16">
        <f t="shared" si="3"/>
        <v>0</v>
      </c>
    </row>
    <row r="247" spans="2:8" ht="12.75" x14ac:dyDescent="0.2">
      <c r="B247" s="17"/>
      <c r="C247" s="17"/>
      <c r="D247" s="17"/>
      <c r="E247" s="17"/>
      <c r="F247" s="19"/>
      <c r="G247" s="17"/>
      <c r="H247" s="16">
        <f t="shared" si="3"/>
        <v>0</v>
      </c>
    </row>
    <row r="248" spans="2:8" ht="12.75" x14ac:dyDescent="0.2">
      <c r="B248" s="17"/>
      <c r="C248" s="17"/>
      <c r="D248" s="17"/>
      <c r="E248" s="17"/>
      <c r="F248" s="19"/>
      <c r="G248" s="17"/>
      <c r="H248" s="16">
        <f t="shared" si="3"/>
        <v>0</v>
      </c>
    </row>
    <row r="249" spans="2:8" ht="12.75" x14ac:dyDescent="0.2">
      <c r="B249" s="17"/>
      <c r="C249" s="17"/>
      <c r="D249" s="17"/>
      <c r="E249" s="17"/>
      <c r="F249" s="19"/>
      <c r="G249" s="17"/>
      <c r="H249" s="16">
        <f t="shared" si="3"/>
        <v>0</v>
      </c>
    </row>
    <row r="250" spans="2:8" ht="12.75" x14ac:dyDescent="0.2">
      <c r="B250" s="17"/>
      <c r="C250" s="17"/>
      <c r="D250" s="17"/>
      <c r="E250" s="17"/>
      <c r="F250" s="19"/>
      <c r="G250" s="17"/>
      <c r="H250" s="16">
        <f t="shared" si="3"/>
        <v>0</v>
      </c>
    </row>
    <row r="251" spans="2:8" ht="12.75" x14ac:dyDescent="0.2">
      <c r="B251" s="17"/>
      <c r="C251" s="17"/>
      <c r="D251" s="17"/>
      <c r="E251" s="17"/>
      <c r="F251" s="19"/>
      <c r="G251" s="17"/>
      <c r="H251" s="16">
        <f t="shared" si="3"/>
        <v>0</v>
      </c>
    </row>
    <row r="252" spans="2:8" ht="12.75" x14ac:dyDescent="0.2">
      <c r="B252" s="17"/>
      <c r="C252" s="17"/>
      <c r="D252" s="17"/>
      <c r="E252" s="17"/>
      <c r="F252" s="19"/>
      <c r="G252" s="17"/>
      <c r="H252" s="16">
        <f t="shared" si="3"/>
        <v>0</v>
      </c>
    </row>
    <row r="253" spans="2:8" ht="12.75" x14ac:dyDescent="0.2">
      <c r="B253" s="17"/>
      <c r="C253" s="17"/>
      <c r="D253" s="17"/>
      <c r="E253" s="17"/>
      <c r="F253" s="19"/>
      <c r="G253" s="17"/>
      <c r="H253" s="16">
        <f t="shared" si="3"/>
        <v>0</v>
      </c>
    </row>
    <row r="254" spans="2:8" ht="12.75" x14ac:dyDescent="0.2">
      <c r="B254" s="17"/>
      <c r="C254" s="17"/>
      <c r="D254" s="17"/>
      <c r="E254" s="17"/>
      <c r="F254" s="19"/>
      <c r="G254" s="17"/>
      <c r="H254" s="16">
        <f t="shared" si="3"/>
        <v>0</v>
      </c>
    </row>
    <row r="255" spans="2:8" ht="12.75" x14ac:dyDescent="0.2">
      <c r="B255" s="17"/>
      <c r="C255" s="17"/>
      <c r="D255" s="17"/>
      <c r="E255" s="17"/>
      <c r="F255" s="19"/>
      <c r="G255" s="17"/>
      <c r="H255" s="16">
        <f t="shared" si="3"/>
        <v>0</v>
      </c>
    </row>
    <row r="256" spans="2:8" ht="12.75" x14ac:dyDescent="0.2">
      <c r="B256" s="17"/>
      <c r="C256" s="17"/>
      <c r="D256" s="17"/>
      <c r="E256" s="17"/>
      <c r="F256" s="19"/>
      <c r="G256" s="17"/>
      <c r="H256" s="16">
        <f t="shared" si="3"/>
        <v>0</v>
      </c>
    </row>
    <row r="257" spans="2:8" ht="12.75" x14ac:dyDescent="0.2">
      <c r="B257" s="17"/>
      <c r="C257" s="17"/>
      <c r="D257" s="17"/>
      <c r="E257" s="17"/>
      <c r="F257" s="19"/>
      <c r="G257" s="17"/>
      <c r="H257" s="16">
        <f t="shared" si="3"/>
        <v>0</v>
      </c>
    </row>
    <row r="258" spans="2:8" ht="12.75" x14ac:dyDescent="0.2">
      <c r="B258" s="17"/>
      <c r="C258" s="17"/>
      <c r="D258" s="17"/>
      <c r="E258" s="17"/>
      <c r="F258" s="19"/>
      <c r="G258" s="17"/>
      <c r="H258" s="16">
        <f t="shared" si="3"/>
        <v>0</v>
      </c>
    </row>
    <row r="259" spans="2:8" ht="12.75" x14ac:dyDescent="0.2">
      <c r="B259" s="17"/>
      <c r="C259" s="17"/>
      <c r="D259" s="17"/>
      <c r="E259" s="17"/>
      <c r="F259" s="19"/>
      <c r="G259" s="17"/>
      <c r="H259" s="16">
        <f t="shared" ref="H259:H295" si="4">A259</f>
        <v>0</v>
      </c>
    </row>
    <row r="260" spans="2:8" ht="12.75" x14ac:dyDescent="0.2">
      <c r="B260" s="17"/>
      <c r="C260" s="17"/>
      <c r="D260" s="17"/>
      <c r="E260" s="17"/>
      <c r="F260" s="19"/>
      <c r="G260" s="17"/>
      <c r="H260" s="16">
        <f t="shared" si="4"/>
        <v>0</v>
      </c>
    </row>
    <row r="261" spans="2:8" ht="12.75" x14ac:dyDescent="0.2">
      <c r="B261" s="17"/>
      <c r="C261" s="17"/>
      <c r="D261" s="17"/>
      <c r="E261" s="17"/>
      <c r="F261" s="19"/>
      <c r="G261" s="17"/>
      <c r="H261" s="16">
        <f t="shared" si="4"/>
        <v>0</v>
      </c>
    </row>
    <row r="262" spans="2:8" ht="12.75" x14ac:dyDescent="0.2">
      <c r="H262" s="16">
        <f t="shared" si="4"/>
        <v>0</v>
      </c>
    </row>
    <row r="263" spans="2:8" ht="12.75" x14ac:dyDescent="0.2">
      <c r="H263" s="16">
        <f t="shared" si="4"/>
        <v>0</v>
      </c>
    </row>
    <row r="264" spans="2:8" ht="12.75" x14ac:dyDescent="0.2">
      <c r="H264" s="16">
        <f t="shared" si="4"/>
        <v>0</v>
      </c>
    </row>
    <row r="265" spans="2:8" ht="12.75" x14ac:dyDescent="0.2">
      <c r="H265" s="16">
        <f t="shared" si="4"/>
        <v>0</v>
      </c>
    </row>
    <row r="266" spans="2:8" ht="12.75" x14ac:dyDescent="0.2">
      <c r="H266" s="16">
        <f t="shared" si="4"/>
        <v>0</v>
      </c>
    </row>
    <row r="267" spans="2:8" ht="12.75" x14ac:dyDescent="0.2">
      <c r="H267" s="16">
        <f t="shared" si="4"/>
        <v>0</v>
      </c>
    </row>
    <row r="268" spans="2:8" ht="12.75" x14ac:dyDescent="0.2">
      <c r="H268" s="16">
        <f t="shared" si="4"/>
        <v>0</v>
      </c>
    </row>
    <row r="269" spans="2:8" ht="12.75" x14ac:dyDescent="0.2">
      <c r="H269" s="16">
        <f t="shared" si="4"/>
        <v>0</v>
      </c>
    </row>
    <row r="270" spans="2:8" ht="12.75" x14ac:dyDescent="0.2">
      <c r="H270" s="16">
        <f t="shared" si="4"/>
        <v>0</v>
      </c>
    </row>
    <row r="271" spans="2:8" ht="12.75" x14ac:dyDescent="0.2">
      <c r="H271" s="16">
        <f t="shared" si="4"/>
        <v>0</v>
      </c>
    </row>
    <row r="272" spans="2:8" ht="12.75" x14ac:dyDescent="0.2">
      <c r="H272" s="16">
        <f t="shared" si="4"/>
        <v>0</v>
      </c>
    </row>
    <row r="273" spans="8:8" ht="12.75" x14ac:dyDescent="0.2">
      <c r="H273" s="16">
        <f t="shared" si="4"/>
        <v>0</v>
      </c>
    </row>
    <row r="274" spans="8:8" ht="12.75" x14ac:dyDescent="0.2">
      <c r="H274" s="16">
        <f t="shared" si="4"/>
        <v>0</v>
      </c>
    </row>
    <row r="275" spans="8:8" ht="12.75" x14ac:dyDescent="0.2">
      <c r="H275" s="16">
        <f t="shared" si="4"/>
        <v>0</v>
      </c>
    </row>
    <row r="276" spans="8:8" ht="12.75" x14ac:dyDescent="0.2">
      <c r="H276" s="16">
        <f t="shared" si="4"/>
        <v>0</v>
      </c>
    </row>
    <row r="277" spans="8:8" ht="12.75" x14ac:dyDescent="0.2">
      <c r="H277" s="16">
        <f t="shared" si="4"/>
        <v>0</v>
      </c>
    </row>
    <row r="278" spans="8:8" ht="12.75" x14ac:dyDescent="0.2">
      <c r="H278" s="16">
        <f t="shared" si="4"/>
        <v>0</v>
      </c>
    </row>
    <row r="279" spans="8:8" ht="12.75" x14ac:dyDescent="0.2">
      <c r="H279" s="16">
        <f t="shared" si="4"/>
        <v>0</v>
      </c>
    </row>
    <row r="280" spans="8:8" ht="12.75" x14ac:dyDescent="0.2">
      <c r="H280" s="16">
        <f t="shared" si="4"/>
        <v>0</v>
      </c>
    </row>
    <row r="281" spans="8:8" ht="12.75" x14ac:dyDescent="0.2">
      <c r="H281" s="16">
        <f t="shared" si="4"/>
        <v>0</v>
      </c>
    </row>
    <row r="282" spans="8:8" ht="12.75" x14ac:dyDescent="0.2">
      <c r="H282" s="16">
        <f t="shared" si="4"/>
        <v>0</v>
      </c>
    </row>
    <row r="283" spans="8:8" ht="12.75" x14ac:dyDescent="0.2">
      <c r="H283" s="16">
        <f t="shared" si="4"/>
        <v>0</v>
      </c>
    </row>
    <row r="284" spans="8:8" ht="12.75" x14ac:dyDescent="0.2">
      <c r="H284" s="16">
        <f t="shared" si="4"/>
        <v>0</v>
      </c>
    </row>
    <row r="285" spans="8:8" ht="12.75" x14ac:dyDescent="0.2">
      <c r="H285" s="16">
        <f t="shared" si="4"/>
        <v>0</v>
      </c>
    </row>
    <row r="286" spans="8:8" ht="12.75" x14ac:dyDescent="0.2">
      <c r="H286" s="16">
        <f t="shared" si="4"/>
        <v>0</v>
      </c>
    </row>
    <row r="287" spans="8:8" ht="12.75" x14ac:dyDescent="0.2">
      <c r="H287" s="16">
        <f t="shared" si="4"/>
        <v>0</v>
      </c>
    </row>
    <row r="288" spans="8:8" ht="12.75" x14ac:dyDescent="0.2">
      <c r="H288" s="16">
        <f t="shared" si="4"/>
        <v>0</v>
      </c>
    </row>
    <row r="289" spans="8:8" ht="12.75" x14ac:dyDescent="0.2">
      <c r="H289" s="16">
        <f t="shared" si="4"/>
        <v>0</v>
      </c>
    </row>
    <row r="290" spans="8:8" ht="12.75" x14ac:dyDescent="0.2">
      <c r="H290" s="16">
        <f t="shared" si="4"/>
        <v>0</v>
      </c>
    </row>
    <row r="291" spans="8:8" ht="12.75" x14ac:dyDescent="0.2">
      <c r="H291" s="16">
        <f t="shared" si="4"/>
        <v>0</v>
      </c>
    </row>
    <row r="292" spans="8:8" ht="12.75" x14ac:dyDescent="0.2">
      <c r="H292" s="16">
        <f t="shared" si="4"/>
        <v>0</v>
      </c>
    </row>
    <row r="293" spans="8:8" ht="12.75" x14ac:dyDescent="0.2">
      <c r="H293" s="16">
        <f t="shared" si="4"/>
        <v>0</v>
      </c>
    </row>
    <row r="294" spans="8:8" ht="12.75" x14ac:dyDescent="0.2">
      <c r="H294" s="16">
        <f t="shared" si="4"/>
        <v>0</v>
      </c>
    </row>
    <row r="295" spans="8:8" ht="12.75" x14ac:dyDescent="0.2">
      <c r="H295" s="16">
        <f t="shared" si="4"/>
        <v>0</v>
      </c>
    </row>
  </sheetData>
  <hyperlinks>
    <hyperlink ref="G47" r:id="rId1"/>
    <hyperlink ref="G114" r:id="rId2"/>
    <hyperlink ref="G31" r:id="rId3"/>
    <hyperlink ref="G52" r:id="rId4"/>
    <hyperlink ref="G122" r:id="rId5"/>
    <hyperlink ref="G5" r:id="rId6"/>
    <hyperlink ref="G35" r:id="rId7"/>
    <hyperlink ref="G39" r:id="rId8"/>
    <hyperlink ref="G99" r:id="rId9"/>
    <hyperlink ref="G40" r:id="rId10"/>
    <hyperlink ref="G121" r:id="rId11"/>
    <hyperlink ref="G60" r:id="rId12"/>
    <hyperlink ref="G17" r:id="rId13"/>
    <hyperlink ref="G96" r:id="rId14"/>
    <hyperlink ref="G50" r:id="rId15"/>
    <hyperlink ref="G63" r:id="rId16"/>
    <hyperlink ref="G129" r:id="rId17"/>
    <hyperlink ref="G51" r:id="rId18" display="purchase2@ktechvn.com.vn"/>
    <hyperlink ref="G2" r:id="rId19"/>
    <hyperlink ref="G37" r:id="rId20"/>
    <hyperlink ref="G100" r:id="rId21"/>
    <hyperlink ref="G112" r:id="rId22"/>
    <hyperlink ref="G70" r:id="rId23"/>
    <hyperlink ref="G7" r:id="rId24"/>
    <hyperlink ref="G130" r:id="rId25"/>
    <hyperlink ref="G6" r:id="rId26"/>
    <hyperlink ref="G41" r:id="rId27"/>
    <hyperlink ref="G134" r:id="rId28" display="quan.vinasora@gmail.com_x000a_"/>
    <hyperlink ref="G136" r:id="rId29"/>
    <hyperlink ref="G21" r:id="rId30"/>
    <hyperlink ref="G62" r:id="rId31"/>
    <hyperlink ref="G69" r:id="rId32"/>
    <hyperlink ref="G4" r:id="rId33"/>
    <hyperlink ref="G98" r:id="rId34"/>
    <hyperlink ref="G16" r:id="rId35"/>
    <hyperlink ref="G59" r:id="rId36"/>
    <hyperlink ref="G14" r:id="rId37"/>
    <hyperlink ref="G9" r:id="rId38"/>
    <hyperlink ref="G10" r:id="rId39"/>
    <hyperlink ref="G87" r:id="rId40"/>
    <hyperlink ref="G86" r:id="rId41"/>
    <hyperlink ref="G68" r:id="rId42"/>
    <hyperlink ref="G64" r:id="rId43"/>
    <hyperlink ref="G65" r:id="rId44"/>
    <hyperlink ref="G67" r:id="rId45"/>
    <hyperlink ref="G66" r:id="rId46"/>
    <hyperlink ref="G133" r:id="rId47"/>
    <hyperlink ref="G79" r:id="rId48"/>
    <hyperlink ref="G77" r:id="rId49"/>
    <hyperlink ref="G30" r:id="rId50"/>
    <hyperlink ref="G29" r:id="rId51"/>
    <hyperlink ref="G46" r:id="rId52"/>
    <hyperlink ref="G131" r:id="rId53"/>
    <hyperlink ref="G78" r:id="rId54"/>
    <hyperlink ref="G107" r:id="rId55"/>
    <hyperlink ref="G106" r:id="rId56"/>
    <hyperlink ref="G118" r:id="rId57"/>
    <hyperlink ref="G117" r:id="rId58"/>
    <hyperlink ref="G45" r:id="rId59"/>
    <hyperlink ref="G132" r:id="rId60"/>
    <hyperlink ref="G53" r:id="rId61"/>
    <hyperlink ref="G3" r:id="rId62"/>
    <hyperlink ref="G85" r:id="rId63"/>
    <hyperlink ref="G83" r:id="rId64"/>
    <hyperlink ref="G44" r:id="rId65"/>
    <hyperlink ref="G97" r:id="rId66"/>
    <hyperlink ref="G55" r:id="rId67"/>
    <hyperlink ref="G93" r:id="rId68"/>
    <hyperlink ref="G92" r:id="rId69"/>
    <hyperlink ref="G95" r:id="rId70"/>
    <hyperlink ref="G43" r:id="rId71"/>
    <hyperlink ref="G42" r:id="rId72"/>
    <hyperlink ref="G75" r:id="rId73"/>
    <hyperlink ref="G74" r:id="rId74"/>
    <hyperlink ref="G102" r:id="rId75"/>
    <hyperlink ref="G103" r:id="rId76"/>
    <hyperlink ref="G110" r:id="rId77"/>
    <hyperlink ref="G109" r:id="rId78"/>
    <hyperlink ref="G48" r:id="rId79"/>
    <hyperlink ref="G90" r:id="rId80"/>
    <hyperlink ref="G88" r:id="rId81"/>
    <hyperlink ref="G34" r:id="rId82"/>
    <hyperlink ref="G19" r:id="rId83"/>
    <hyperlink ref="G128" r:id="rId84"/>
    <hyperlink ref="G111" r:id="rId85"/>
    <hyperlink ref="G127" r:id="rId86"/>
    <hyperlink ref="G137" r:id="rId87"/>
    <hyperlink ref="G138" r:id="rId88"/>
    <hyperlink ref="G139" r:id="rId89"/>
    <hyperlink ref="G8" r:id="rId90"/>
    <hyperlink ref="G28" r:id="rId91"/>
    <hyperlink ref="G23" r:id="rId92"/>
    <hyperlink ref="G24" r:id="rId93"/>
    <hyperlink ref="G119" r:id="rId94"/>
    <hyperlink ref="G13" r:id="rId95"/>
    <hyperlink ref="G81" r:id="rId96"/>
    <hyperlink ref="G82" r:id="rId97"/>
    <hyperlink ref="G38" r:id="rId98"/>
    <hyperlink ref="G89" r:id="rId99"/>
    <hyperlink ref="G12" r:id="rId100"/>
    <hyperlink ref="G33" r:id="rId101"/>
    <hyperlink ref="G126" r:id="rId102"/>
    <hyperlink ref="G15" r:id="rId103"/>
    <hyperlink ref="G84" r:id="rId104"/>
    <hyperlink ref="G57" r:id="rId105"/>
    <hyperlink ref="G135" r:id="rId106"/>
    <hyperlink ref="G141" r:id="rId107" display="mailto:tuyenlethanh@gmail.com"/>
    <hyperlink ref="G142" r:id="rId108"/>
    <hyperlink ref="G143" r:id="rId109"/>
    <hyperlink ref="G145" r:id="rId110"/>
    <hyperlink ref="G148" r:id="rId111"/>
    <hyperlink ref="G149" r:id="rId112"/>
    <hyperlink ref="G152" r:id="rId113" display="mailto:viettap@gmail.com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T18" sqref="T18"/>
    </sheetView>
  </sheetViews>
  <sheetFormatPr defaultColWidth="8.875" defaultRowHeight="14.25" x14ac:dyDescent="0.2"/>
  <sheetData>
    <row r="1" spans="1:1" ht="15" x14ac:dyDescent="0.25">
      <c r="A1" s="119" t="s">
        <v>805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QUO</vt:lpstr>
      <vt:lpstr>Sheet1</vt:lpstr>
      <vt:lpstr>Sale</vt:lpstr>
      <vt:lpstr>ĐKHOẢN CHUNG</vt:lpstr>
      <vt:lpstr>Custom</vt:lpstr>
      <vt:lpstr>Sheet2</vt:lpstr>
      <vt:lpstr>QUO!Print_Area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2019-03-19T11:50:07Z</cp:lastPrinted>
  <dcterms:created xsi:type="dcterms:W3CDTF">2006-09-16T00:00:00Z</dcterms:created>
  <dcterms:modified xsi:type="dcterms:W3CDTF">2019-04-22T01:27:32Z</dcterms:modified>
</cp:coreProperties>
</file>